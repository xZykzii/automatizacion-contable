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cionario\Desktop\2026-1\Gestión Contable 2026-1\"/>
    </mc:Choice>
  </mc:AlternateContent>
  <xr:revisionPtr revIDLastSave="0" documentId="8_{41F5485D-D1A5-4841-819E-4F13E6A12A79}" xr6:coauthVersionLast="36" xr6:coauthVersionMax="36" xr10:uidLastSave="{00000000-0000-0000-0000-000000000000}"/>
  <bookViews>
    <workbookView xWindow="240" yWindow="15" windowWidth="15480" windowHeight="9120" activeTab="3" xr2:uid="{00000000-000D-0000-FFFF-FFFF00000000}"/>
  </bookViews>
  <sheets>
    <sheet name="Ejercicio" sheetId="3" r:id="rId1"/>
    <sheet name="Libro Diario y Mayor" sheetId="1" r:id="rId2"/>
    <sheet name="Balance 8 columnas" sheetId="2" r:id="rId3"/>
    <sheet name="Rúbrica" sheetId="4" r:id="rId4"/>
  </sheets>
  <calcPr calcId="191029"/>
</workbook>
</file>

<file path=xl/calcChain.xml><?xml version="1.0" encoding="utf-8"?>
<calcChain xmlns="http://schemas.openxmlformats.org/spreadsheetml/2006/main">
  <c r="F72" i="1" l="1"/>
  <c r="M49" i="1" s="1"/>
  <c r="M67" i="1"/>
  <c r="L30" i="1"/>
  <c r="I32" i="1"/>
  <c r="F67" i="1"/>
  <c r="J41" i="1" s="1"/>
  <c r="J43" i="1" s="1"/>
  <c r="C8" i="2" s="1"/>
  <c r="L68" i="1"/>
  <c r="I55" i="1"/>
  <c r="E32" i="1"/>
  <c r="A22" i="2"/>
  <c r="A17" i="2"/>
  <c r="A15" i="2"/>
  <c r="A10" i="2"/>
  <c r="C21" i="2"/>
  <c r="A21" i="2"/>
  <c r="C20" i="2"/>
  <c r="A20" i="2"/>
  <c r="C19" i="2"/>
  <c r="A19" i="2"/>
  <c r="C18" i="2"/>
  <c r="A18" i="2"/>
  <c r="A16" i="2"/>
  <c r="A14" i="2"/>
  <c r="A13" i="2"/>
  <c r="A12" i="2"/>
  <c r="A11" i="2"/>
  <c r="C9" i="2"/>
  <c r="A9" i="2"/>
  <c r="A8" i="2"/>
  <c r="A7" i="2"/>
  <c r="A6" i="2"/>
  <c r="A5" i="2"/>
  <c r="A4" i="2"/>
  <c r="J35" i="1"/>
  <c r="L62" i="1"/>
  <c r="M75" i="1" l="1"/>
  <c r="L75" i="1"/>
  <c r="L61" i="1"/>
  <c r="L63" i="1" s="1"/>
  <c r="M63" i="1"/>
  <c r="C11" i="2" s="1"/>
  <c r="L51" i="1"/>
  <c r="B14" i="2" s="1"/>
  <c r="I79" i="1"/>
  <c r="I81" i="1" s="1"/>
  <c r="I73" i="1"/>
  <c r="I75" i="1"/>
  <c r="I67" i="1"/>
  <c r="I69" i="1"/>
  <c r="I61" i="1"/>
  <c r="I63" i="1"/>
  <c r="B19" i="2" s="1"/>
  <c r="D19" i="2" s="1"/>
  <c r="H19" i="2" s="1"/>
  <c r="I47" i="1"/>
  <c r="I49" i="1" s="1"/>
  <c r="B17" i="2" s="1"/>
  <c r="D17" i="2" s="1"/>
  <c r="H17" i="2" s="1"/>
  <c r="M30" i="1"/>
  <c r="L32" i="1"/>
  <c r="B15" i="2" s="1"/>
  <c r="M32" i="1"/>
  <c r="C15" i="2" s="1"/>
  <c r="G15" i="2" s="1"/>
  <c r="M22" i="1"/>
  <c r="L24" i="1"/>
  <c r="B22" i="2" s="1"/>
  <c r="M24" i="1"/>
  <c r="I41" i="1"/>
  <c r="I43" i="1" s="1"/>
  <c r="J34" i="1"/>
  <c r="I31" i="1"/>
  <c r="L17" i="1"/>
  <c r="B16" i="2" s="1"/>
  <c r="M6" i="1"/>
  <c r="M8" i="1" s="1"/>
  <c r="L8" i="1"/>
  <c r="B12" i="2" s="1"/>
  <c r="I23" i="1"/>
  <c r="I22" i="1"/>
  <c r="J24" i="1"/>
  <c r="C6" i="2" s="1"/>
  <c r="I15" i="1"/>
  <c r="I17" i="1" s="1"/>
  <c r="B7" i="2" s="1"/>
  <c r="I7" i="1"/>
  <c r="I6" i="1"/>
  <c r="I10" i="1" s="1"/>
  <c r="B4" i="2" s="1"/>
  <c r="F63" i="1"/>
  <c r="M43" i="1" s="1"/>
  <c r="M44" i="1" s="1"/>
  <c r="C13" i="2" s="1"/>
  <c r="E13" i="2" s="1"/>
  <c r="G13" i="2" s="1"/>
  <c r="E61" i="1"/>
  <c r="F56" i="1"/>
  <c r="J33" i="1" s="1"/>
  <c r="F47" i="1"/>
  <c r="J32" i="1" s="1"/>
  <c r="F43" i="1"/>
  <c r="J31" i="1" s="1"/>
  <c r="F42" i="1"/>
  <c r="J8" i="1" s="1"/>
  <c r="F33" i="1"/>
  <c r="J30" i="1" s="1"/>
  <c r="F29" i="1"/>
  <c r="J7" i="1" s="1"/>
  <c r="E13" i="1"/>
  <c r="F14" i="1" s="1"/>
  <c r="J6" i="1" s="1"/>
  <c r="F10" i="1"/>
  <c r="M15" i="1" s="1"/>
  <c r="M17" i="1" s="1"/>
  <c r="F24" i="1"/>
  <c r="J15" i="1" s="1"/>
  <c r="J17" i="1" s="1"/>
  <c r="C7" i="2" s="1"/>
  <c r="B8" i="2" l="1"/>
  <c r="F8" i="2" s="1"/>
  <c r="C16" i="2"/>
  <c r="E16" i="2" s="1"/>
  <c r="G16" i="2" s="1"/>
  <c r="C22" i="2"/>
  <c r="E22" i="2" s="1"/>
  <c r="I22" i="2" s="1"/>
  <c r="I23" i="2" s="1"/>
  <c r="I25" i="2" s="1"/>
  <c r="I54" i="1"/>
  <c r="I56" i="1" s="1"/>
  <c r="C12" i="2"/>
  <c r="E12" i="2" s="1"/>
  <c r="G12" i="2" s="1"/>
  <c r="D9" i="2"/>
  <c r="F9" i="2" s="1"/>
  <c r="B9" i="2"/>
  <c r="B20" i="2"/>
  <c r="D20" i="2" s="1"/>
  <c r="H20" i="2" s="1"/>
  <c r="B21" i="2"/>
  <c r="D21" i="2" s="1"/>
  <c r="H21" i="2" s="1"/>
  <c r="B11" i="2"/>
  <c r="D11" i="2" s="1"/>
  <c r="F11" i="2" s="1"/>
  <c r="M69" i="1"/>
  <c r="C10" i="2" s="1"/>
  <c r="M76" i="1"/>
  <c r="I18" i="1"/>
  <c r="J10" i="1"/>
  <c r="L67" i="1"/>
  <c r="L69" i="1" s="1"/>
  <c r="B10" i="2" s="1"/>
  <c r="F10" i="2" s="1"/>
  <c r="I24" i="1"/>
  <c r="I30" i="1"/>
  <c r="I36" i="1" s="1"/>
  <c r="B5" i="2" s="1"/>
  <c r="E79" i="1"/>
  <c r="M51" i="1"/>
  <c r="I11" i="1" l="1"/>
  <c r="C4" i="2"/>
  <c r="B18" i="2"/>
  <c r="D18" i="2" s="1"/>
  <c r="H18" i="2" s="1"/>
  <c r="H23" i="2" s="1"/>
  <c r="H24" i="2" s="1"/>
  <c r="H25" i="2" s="1"/>
  <c r="I25" i="1"/>
  <c r="B6" i="2"/>
  <c r="D7" i="2"/>
  <c r="F7" i="2" s="1"/>
  <c r="M52" i="1"/>
  <c r="C14" i="2"/>
  <c r="J36" i="1"/>
  <c r="L44" i="1"/>
  <c r="F79" i="1"/>
  <c r="M45" i="1" l="1"/>
  <c r="B13" i="2"/>
  <c r="B23" i="2" s="1"/>
  <c r="B25" i="2" s="1"/>
  <c r="D6" i="2"/>
  <c r="F6" i="2" s="1"/>
  <c r="D4" i="2"/>
  <c r="I37" i="1"/>
  <c r="C5" i="2"/>
  <c r="E14" i="2"/>
  <c r="C23" i="2"/>
  <c r="C25" i="2" s="1"/>
  <c r="D5" i="2" l="1"/>
  <c r="F5" i="2" s="1"/>
  <c r="F4" i="2"/>
  <c r="G14" i="2"/>
  <c r="G23" i="2" s="1"/>
  <c r="E23" i="2"/>
  <c r="E25" i="2" s="1"/>
  <c r="D23" i="2" l="1"/>
  <c r="D25" i="2" s="1"/>
  <c r="F23" i="2"/>
  <c r="F25" i="2" s="1"/>
  <c r="G24" i="2" l="1"/>
  <c r="G25" i="2" s="1"/>
</calcChain>
</file>

<file path=xl/sharedStrings.xml><?xml version="1.0" encoding="utf-8"?>
<sst xmlns="http://schemas.openxmlformats.org/spreadsheetml/2006/main" count="231" uniqueCount="112">
  <si>
    <t>Totales</t>
  </si>
  <si>
    <t>Caja</t>
  </si>
  <si>
    <t>Banco</t>
  </si>
  <si>
    <t>Clientes</t>
  </si>
  <si>
    <t>Mercaderias</t>
  </si>
  <si>
    <t>Capital</t>
  </si>
  <si>
    <t>Glosa:  Asiento de apertura</t>
  </si>
  <si>
    <t>Ingresos por Ventas</t>
  </si>
  <si>
    <t>Iva Débito Fiscal</t>
  </si>
  <si>
    <t>Iva Crédito Fiscal</t>
  </si>
  <si>
    <t>Costo de Ventas</t>
  </si>
  <si>
    <t>Glosa: Contabiliza el costo de la mercadería</t>
  </si>
  <si>
    <t>Utilidad del Ejercicio</t>
  </si>
  <si>
    <t>Libro Diario</t>
  </si>
  <si>
    <t>Depósito a Plazo</t>
  </si>
  <si>
    <t>Glosa:  Apertura de cuenta corriente</t>
  </si>
  <si>
    <t>Glosa: Contabiliza venta de mercaderias</t>
  </si>
  <si>
    <t>Glosa: Depósito venta día 3.02.2012</t>
  </si>
  <si>
    <t>Gastos Generales</t>
  </si>
  <si>
    <t>Glosa: Se cancela luz y agua con cheques</t>
  </si>
  <si>
    <t>Intereses Ganados</t>
  </si>
  <si>
    <t>Arriendo</t>
  </si>
  <si>
    <t>Arriendo Anticipado</t>
  </si>
  <si>
    <t>Glosa: Cancela arriendo y anticipo de arriendo</t>
  </si>
  <si>
    <t>Remuneraciones</t>
  </si>
  <si>
    <t>Glosa: Cancela remuneraciones del mes</t>
  </si>
  <si>
    <t>Gastos financieros</t>
  </si>
  <si>
    <t>Glosa: Contabiliza cargo por mantención</t>
  </si>
  <si>
    <t>Acreedores</t>
  </si>
  <si>
    <t>Impuesto a Pagar</t>
  </si>
  <si>
    <t>SD</t>
  </si>
  <si>
    <t>Mercadería</t>
  </si>
  <si>
    <t>SA</t>
  </si>
  <si>
    <t>Costo de Venta</t>
  </si>
  <si>
    <t>Gastos Financieros</t>
  </si>
  <si>
    <t>IVA Crédito Fiscal</t>
  </si>
  <si>
    <t>ACTIVOS</t>
  </si>
  <si>
    <t>Puntos</t>
  </si>
  <si>
    <t>Letras Por pagar</t>
  </si>
  <si>
    <t>Letras por Pagar</t>
  </si>
  <si>
    <t>CUENTAS</t>
  </si>
  <si>
    <t>DEBITOS</t>
  </si>
  <si>
    <t>CREDITOS</t>
  </si>
  <si>
    <t>SALDO DEUDOR</t>
  </si>
  <si>
    <t>SALDO ACREEDOR</t>
  </si>
  <si>
    <t>PASIVOS</t>
  </si>
  <si>
    <t>PERDIDAS</t>
  </si>
  <si>
    <t>GANANCIAS</t>
  </si>
  <si>
    <t>-</t>
  </si>
  <si>
    <t>Subtotal</t>
  </si>
  <si>
    <t>Totales Iguales</t>
  </si>
  <si>
    <t>BALANCE 8 COLUMNAS</t>
  </si>
  <si>
    <t>Vehiculo</t>
  </si>
  <si>
    <t>Maquinas y herramientas</t>
  </si>
  <si>
    <t>Glosa:  Compra herramientas</t>
  </si>
  <si>
    <t>Gastos generales</t>
  </si>
  <si>
    <t>Glosa:  Recibe pago de clientes</t>
  </si>
  <si>
    <t>Glosa. Cierra cuentas de IVA</t>
  </si>
  <si>
    <t>DESARROLLO CERTAMEN DE CONTABILIDAD</t>
  </si>
  <si>
    <t>Considere las siguientes transacciones y contabilice en libro diario, libro mayor. Efectúe, además Balance General de 8 columnas y Estado de Resultados al 31.12.2012 :</t>
  </si>
  <si>
    <t>La empresa “CIM”, inicia actividades el 01.02.2012, con lo siguiente:</t>
  </si>
  <si>
    <t>EFECTIVO</t>
  </si>
  <si>
    <t>MATERIALES</t>
  </si>
  <si>
    <t xml:space="preserve">VEHICULO </t>
  </si>
  <si>
    <t>DOCUMENTOS POR PAGAR</t>
  </si>
  <si>
    <t>CAPITAL</t>
  </si>
  <si>
    <t>$       ¿</t>
  </si>
  <si>
    <t>Las operaciones del mes fueron las siguientes:</t>
  </si>
  <si>
    <t>02.02</t>
  </si>
  <si>
    <t>Se abre cuenta corriente con el 90% del efectivo.</t>
  </si>
  <si>
    <t>03.02</t>
  </si>
  <si>
    <t>Se venden materiales por $ 6.500.000 valor total, según factura N° 7. Condiciones 30% contado y resto a crédito simple. Costo de la mercadería vendida se determina considerando que se vendió un 40% de los materiales iniciales.</t>
  </si>
  <si>
    <t>04.02</t>
  </si>
  <si>
    <t>Se deposita en la cuenta corriente el efectivo de la venta del día 03 de febrero.</t>
  </si>
  <si>
    <t>10.02</t>
  </si>
  <si>
    <t>Se paga cuentas de luz con cheque N° 1 y agua con cheque N° 2, según boletas N° 234 y 908, por $ 27.000 y $ 15.500, respectivamente.</t>
  </si>
  <si>
    <t>16.02</t>
  </si>
  <si>
    <t xml:space="preserve">Se paga en efectivo $ 90.000 correspondiente a arriendo del mes. Además, se pagan 2 meses adelantados con cheque. </t>
  </si>
  <si>
    <t>28.02</t>
  </si>
  <si>
    <t>Se paga remuneraciones del mes por $1.000.000, con cheque.</t>
  </si>
  <si>
    <t>30.04</t>
  </si>
  <si>
    <t>Se compra un repuesto para el vehículo con factura N° 3047, valor total $160.000, además se le efectúa una mantención por $120.000 neto.</t>
  </si>
  <si>
    <t>30.06</t>
  </si>
  <si>
    <t>Se refleja en la cuenta bancaria $ 32.000, correspondiente a intereses cobrados por cuenta corriente.</t>
  </si>
  <si>
    <t>28.07</t>
  </si>
  <si>
    <t>Se adquieren herramientas para ser utilizadas en la empresa $2.500.000 valor total, se paga el 50% con cheque y el resto al crédito simple.</t>
  </si>
  <si>
    <t>31.12</t>
  </si>
  <si>
    <t>El cliente de la venta del día 03.02 cancela su deuda con un cheque al día.</t>
  </si>
  <si>
    <t>Rúbrica de Evaluación: Automatización de Ciclo Contable (Datos Provistos)</t>
  </si>
  <si>
    <t>Puntaje Total: 100 puntos</t>
  </si>
  <si>
    <t>1. Matriz de Evaluación</t>
  </si>
  <si>
    <t>Criterio</t>
  </si>
  <si>
    <t>Excelente (Logrado)</t>
  </si>
  <si>
    <t>Regular (En Proceso)</t>
  </si>
  <si>
    <t>Insuficiente (No Logrado)</t>
  </si>
  <si>
    <t>Puntaje</t>
  </si>
  <si>
    <t>Automatización del Traspaso (Diario a Mayor)</t>
  </si>
  <si>
    <t>(30 pts) El paso de los datos del Libro Diario al Libro Mayor es 100% automático. El sistema centraliza, agrupa por cuenta y calcula los saldos deudores/acreedores sin intervención manual.</t>
  </si>
  <si>
    <t>(15 pts) El traspaso es semiautomático (ej. requiere ejecutar procesos manuales por cada cuenta) o presenta errores intermitentes en la clasificación de saldos.</t>
  </si>
  <si>
    <t>(0 pts) El traspaso requiere digitación manual, o el código/fórmula copia los datos en posiciones fijas sin lógica de agrupación.</t>
  </si>
  <si>
    <t>Automatización del Balance de Comprobación</t>
  </si>
  <si>
    <t>(30 pts) El Balance se genera automáticamente a partir de los saldos del Mayor. Cuadra perfectamente en sus columnas (Sumas y Saldos) respetando la partida doble de forma dinámica.</t>
  </si>
  <si>
    <t>(15 pts) El balance se genera automáticamente pero arrastra errores de lógica, o requiere que el usuario mueva datos manualmente para que cuadre.</t>
  </si>
  <si>
    <t>(0 pts) El balance no está automatizado, está copiado como texto estático o no se presenta.</t>
  </si>
  <si>
    <t>Dinamicidad y Escalabilidad (Prueba de Estrés)</t>
  </si>
  <si>
    <t>(25 pts) Cero "Hardcoding". Si el docente cambia, agrega o elimina un asiento en el Libro Diario, el Mayor y el Balance se recalculan y actualizan instantáneamente de forma correcta.</t>
  </si>
  <si>
    <t>(12 pts) El sistema funciona con el ejercicio entregado, pero si se cambia un valor o se agrega una fila, la automatización se "rompe" o no detecta los nuevos datos.</t>
  </si>
  <si>
    <t>(0 pts) Los datos están estáticos (pegados como valores). No hay un motor de automatización real.</t>
  </si>
  <si>
    <t>Validación de Datos y Alertas</t>
  </si>
  <si>
    <t>(15 pts) El sistema incluye controles de error visuales o lógicos (ej: alertas si el Diario no cuadra antes de pasar al Mayor, o mensajes de "Balance Cuadrado / Error").</t>
  </si>
  <si>
    <t>(7 pts) Incluye validaciones muy básicas que no previenen errores críticos en el flujo de los datos.</t>
  </si>
  <si>
    <t>(0 pts) No existe ningún control de errores; el sistema permite procesar datos inconsistentes sin advertir al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</si>
</sst>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2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0" fontId="2" fillId="0" borderId="11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3" fontId="2" fillId="0" borderId="12" xfId="0" applyNumberFormat="1" applyFont="1" applyBorder="1"/>
    <xf numFmtId="3" fontId="2" fillId="0" borderId="14" xfId="0" applyNumberFormat="1" applyFont="1" applyBorder="1"/>
    <xf numFmtId="3" fontId="2" fillId="0" borderId="0" xfId="0" applyNumberFormat="1" applyFont="1"/>
    <xf numFmtId="3" fontId="2" fillId="0" borderId="8" xfId="0" applyNumberFormat="1" applyFont="1" applyBorder="1"/>
    <xf numFmtId="3" fontId="2" fillId="0" borderId="10" xfId="0" applyNumberFormat="1" applyFont="1" applyBorder="1"/>
    <xf numFmtId="3" fontId="2" fillId="0" borderId="4" xfId="0" applyNumberFormat="1" applyFont="1" applyBorder="1"/>
    <xf numFmtId="0" fontId="2" fillId="0" borderId="12" xfId="0" applyFont="1" applyBorder="1"/>
    <xf numFmtId="0" fontId="2" fillId="0" borderId="16" xfId="0" applyFont="1" applyBorder="1"/>
    <xf numFmtId="0" fontId="2" fillId="0" borderId="15" xfId="0" applyFont="1" applyBorder="1"/>
    <xf numFmtId="3" fontId="2" fillId="0" borderId="13" xfId="0" applyNumberFormat="1" applyFont="1" applyBorder="1"/>
    <xf numFmtId="3" fontId="2" fillId="0" borderId="0" xfId="0" applyNumberFormat="1" applyFont="1" applyBorder="1"/>
    <xf numFmtId="0" fontId="2" fillId="0" borderId="0" xfId="0" applyFont="1" applyAlignment="1">
      <alignment horizontal="right"/>
    </xf>
    <xf numFmtId="14" fontId="2" fillId="0" borderId="9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10" xfId="0" applyFont="1" applyBorder="1"/>
    <xf numFmtId="14" fontId="2" fillId="0" borderId="7" xfId="0" applyNumberFormat="1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Fill="1" applyBorder="1"/>
    <xf numFmtId="0" fontId="2" fillId="0" borderId="9" xfId="0" applyFont="1" applyBorder="1"/>
    <xf numFmtId="0" fontId="2" fillId="0" borderId="1" xfId="0" applyFont="1" applyBorder="1"/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164" fontId="2" fillId="0" borderId="0" xfId="0" applyNumberFormat="1" applyFont="1" applyBorder="1"/>
    <xf numFmtId="0" fontId="2" fillId="0" borderId="4" xfId="0" applyFont="1" applyBorder="1"/>
    <xf numFmtId="3" fontId="2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3" fillId="0" borderId="0" xfId="0" applyFont="1"/>
    <xf numFmtId="0" fontId="0" fillId="0" borderId="16" xfId="0" applyBorder="1"/>
    <xf numFmtId="3" fontId="0" fillId="0" borderId="16" xfId="0" applyNumberFormat="1" applyBorder="1"/>
    <xf numFmtId="0" fontId="0" fillId="0" borderId="16" xfId="0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right"/>
    </xf>
    <xf numFmtId="3" fontId="0" fillId="0" borderId="1" xfId="0" applyNumberFormat="1" applyBorder="1"/>
    <xf numFmtId="3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6" fontId="0" fillId="0" borderId="0" xfId="0" applyNumberFormat="1"/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6" xfId="0" applyBorder="1" applyAlignment="1">
      <alignment horizontal="left" vertical="top" wrapText="1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1D4A-CBC4-4CFC-8F64-8D87D9495E3A}">
  <dimension ref="B2:C24"/>
  <sheetViews>
    <sheetView workbookViewId="0">
      <selection activeCell="C16" sqref="C16"/>
    </sheetView>
  </sheetViews>
  <sheetFormatPr baseColWidth="10" defaultRowHeight="15" x14ac:dyDescent="0.25"/>
  <sheetData>
    <row r="2" spans="2:3" x14ac:dyDescent="0.25">
      <c r="B2" t="s">
        <v>59</v>
      </c>
    </row>
    <row r="4" spans="2:3" x14ac:dyDescent="0.25">
      <c r="B4" t="s">
        <v>60</v>
      </c>
    </row>
    <row r="6" spans="2:3" x14ac:dyDescent="0.25">
      <c r="B6" t="s">
        <v>61</v>
      </c>
      <c r="C6" s="53">
        <v>5000000</v>
      </c>
    </row>
    <row r="7" spans="2:3" x14ac:dyDescent="0.25">
      <c r="B7" t="s">
        <v>62</v>
      </c>
      <c r="C7" s="53">
        <v>10000000</v>
      </c>
    </row>
    <row r="8" spans="2:3" x14ac:dyDescent="0.25">
      <c r="B8" t="s">
        <v>63</v>
      </c>
      <c r="C8" s="53">
        <v>6500000</v>
      </c>
    </row>
    <row r="9" spans="2:3" x14ac:dyDescent="0.25">
      <c r="B9" t="s">
        <v>64</v>
      </c>
      <c r="C9" s="53">
        <v>650000</v>
      </c>
    </row>
    <row r="11" spans="2:3" x14ac:dyDescent="0.25">
      <c r="B11" t="s">
        <v>65</v>
      </c>
      <c r="C11" t="s">
        <v>66</v>
      </c>
    </row>
    <row r="13" spans="2:3" x14ac:dyDescent="0.25">
      <c r="B13" t="s">
        <v>67</v>
      </c>
    </row>
    <row r="15" spans="2:3" x14ac:dyDescent="0.25">
      <c r="B15" t="s">
        <v>68</v>
      </c>
      <c r="C15" t="s">
        <v>69</v>
      </c>
    </row>
    <row r="16" spans="2:3" x14ac:dyDescent="0.25">
      <c r="B16" t="s">
        <v>70</v>
      </c>
      <c r="C16" t="s">
        <v>71</v>
      </c>
    </row>
    <row r="17" spans="2:3" x14ac:dyDescent="0.25">
      <c r="B17" t="s">
        <v>72</v>
      </c>
      <c r="C17" t="s">
        <v>73</v>
      </c>
    </row>
    <row r="18" spans="2:3" x14ac:dyDescent="0.25">
      <c r="B18" t="s">
        <v>74</v>
      </c>
      <c r="C18" t="s">
        <v>75</v>
      </c>
    </row>
    <row r="19" spans="2:3" x14ac:dyDescent="0.25">
      <c r="B19" t="s">
        <v>76</v>
      </c>
      <c r="C19" t="s">
        <v>77</v>
      </c>
    </row>
    <row r="20" spans="2:3" x14ac:dyDescent="0.25">
      <c r="B20" t="s">
        <v>78</v>
      </c>
      <c r="C20" t="s">
        <v>79</v>
      </c>
    </row>
    <row r="21" spans="2:3" x14ac:dyDescent="0.25">
      <c r="B21" t="s">
        <v>80</v>
      </c>
      <c r="C21" t="s">
        <v>81</v>
      </c>
    </row>
    <row r="22" spans="2:3" x14ac:dyDescent="0.25">
      <c r="B22" t="s">
        <v>82</v>
      </c>
      <c r="C22" t="s">
        <v>83</v>
      </c>
    </row>
    <row r="23" spans="2:3" x14ac:dyDescent="0.25">
      <c r="B23" t="s">
        <v>84</v>
      </c>
      <c r="C23" t="s">
        <v>85</v>
      </c>
    </row>
    <row r="24" spans="2:3" x14ac:dyDescent="0.25">
      <c r="B24" t="s">
        <v>86</v>
      </c>
      <c r="C24" t="s">
        <v>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89"/>
  <sheetViews>
    <sheetView topLeftCell="A46" workbookViewId="0">
      <selection activeCell="F19" sqref="F19:F20"/>
    </sheetView>
  </sheetViews>
  <sheetFormatPr baseColWidth="10" defaultRowHeight="12" x14ac:dyDescent="0.2"/>
  <cols>
    <col min="1" max="1" width="4.85546875" style="2" bestFit="1" customWidth="1"/>
    <col min="2" max="3" width="11.42578125" style="2"/>
    <col min="4" max="4" width="17.28515625" style="2" customWidth="1"/>
    <col min="5" max="5" width="9.85546875" style="2" customWidth="1"/>
    <col min="6" max="6" width="10.28515625" style="2" customWidth="1"/>
    <col min="7" max="7" width="11" style="2" bestFit="1" customWidth="1"/>
    <col min="8" max="8" width="9.140625" style="2" bestFit="1" customWidth="1"/>
    <col min="9" max="9" width="10.140625" style="2" bestFit="1" customWidth="1"/>
    <col min="10" max="10" width="10" style="2" customWidth="1"/>
    <col min="11" max="11" width="9.7109375" style="2" customWidth="1"/>
    <col min="12" max="12" width="9" style="2" customWidth="1"/>
    <col min="13" max="13" width="12.7109375" style="2" customWidth="1"/>
    <col min="14" max="15" width="11.42578125" style="2"/>
    <col min="16" max="16" width="25.42578125" style="2" customWidth="1"/>
    <col min="17" max="17" width="11.42578125" style="2"/>
    <col min="18" max="18" width="6.5703125" style="2" customWidth="1"/>
    <col min="19" max="19" width="11.42578125" style="2"/>
    <col min="20" max="20" width="16.85546875" style="2" customWidth="1"/>
    <col min="21" max="21" width="11.42578125" style="2"/>
    <col min="22" max="22" width="4.28515625" style="2" customWidth="1"/>
    <col min="23" max="16384" width="11.42578125" style="2"/>
  </cols>
  <sheetData>
    <row r="1" spans="2:22" x14ac:dyDescent="0.2">
      <c r="B1" s="1" t="s">
        <v>58</v>
      </c>
      <c r="P1" s="10"/>
      <c r="Q1" s="10"/>
      <c r="R1" s="10"/>
      <c r="S1" s="10"/>
      <c r="T1" s="10"/>
      <c r="U1" s="10"/>
      <c r="V1" s="10"/>
    </row>
    <row r="2" spans="2:22" x14ac:dyDescent="0.2">
      <c r="P2" s="10"/>
      <c r="Q2" s="10"/>
      <c r="R2" s="10"/>
      <c r="S2" s="10"/>
      <c r="T2" s="10"/>
      <c r="U2" s="10"/>
      <c r="V2" s="10"/>
    </row>
    <row r="3" spans="2:22" x14ac:dyDescent="0.2">
      <c r="P3" s="39"/>
      <c r="Q3" s="10"/>
      <c r="R3" s="10"/>
      <c r="S3" s="10"/>
      <c r="T3" s="10"/>
      <c r="U3" s="10"/>
      <c r="V3" s="10"/>
    </row>
    <row r="4" spans="2:22" x14ac:dyDescent="0.2">
      <c r="B4" s="1" t="s">
        <v>13</v>
      </c>
      <c r="G4" s="2" t="s">
        <v>37</v>
      </c>
      <c r="P4" s="10"/>
      <c r="Q4" s="10"/>
      <c r="R4" s="10"/>
      <c r="S4" s="10"/>
      <c r="T4" s="10"/>
      <c r="U4" s="10"/>
      <c r="V4" s="10"/>
    </row>
    <row r="5" spans="2:22" ht="12.75" thickBot="1" x14ac:dyDescent="0.25">
      <c r="B5" s="3">
        <v>40940</v>
      </c>
      <c r="C5" s="4">
        <v>1</v>
      </c>
      <c r="D5" s="5"/>
      <c r="E5" s="6"/>
      <c r="F5" s="7"/>
      <c r="I5" s="54" t="s">
        <v>1</v>
      </c>
      <c r="J5" s="54"/>
      <c r="L5" s="54" t="s">
        <v>39</v>
      </c>
      <c r="M5" s="54"/>
      <c r="P5" s="10"/>
      <c r="Q5" s="52"/>
      <c r="R5" s="10"/>
      <c r="S5" s="10"/>
      <c r="T5" s="10"/>
      <c r="U5" s="10"/>
      <c r="V5" s="10"/>
    </row>
    <row r="6" spans="2:22" x14ac:dyDescent="0.2">
      <c r="B6" s="9" t="s">
        <v>1</v>
      </c>
      <c r="C6" s="10"/>
      <c r="D6" s="11"/>
      <c r="E6" s="12">
        <v>5000000</v>
      </c>
      <c r="F6" s="11"/>
      <c r="I6" s="13">
        <f>+E6</f>
        <v>5000000</v>
      </c>
      <c r="J6" s="14">
        <f>+F14</f>
        <v>4500000</v>
      </c>
      <c r="L6" s="13">
        <v>0</v>
      </c>
      <c r="M6" s="14">
        <f>+F9</f>
        <v>650000</v>
      </c>
      <c r="P6" s="10"/>
      <c r="Q6" s="10"/>
      <c r="R6" s="10"/>
      <c r="S6" s="10"/>
      <c r="T6" s="10"/>
      <c r="U6" s="10"/>
      <c r="V6" s="10"/>
    </row>
    <row r="7" spans="2:22" x14ac:dyDescent="0.2">
      <c r="B7" s="9" t="s">
        <v>4</v>
      </c>
      <c r="C7" s="10"/>
      <c r="D7" s="11"/>
      <c r="E7" s="12">
        <v>10000000</v>
      </c>
      <c r="F7" s="11"/>
      <c r="I7" s="15">
        <f>+E17</f>
        <v>1950000</v>
      </c>
      <c r="J7" s="14">
        <f>+F29</f>
        <v>1950000</v>
      </c>
      <c r="L7" s="16">
        <v>0</v>
      </c>
      <c r="M7" s="17">
        <v>0</v>
      </c>
      <c r="P7" s="10"/>
      <c r="Q7" s="22"/>
      <c r="R7" s="10"/>
      <c r="S7" s="10"/>
      <c r="T7" s="10"/>
      <c r="U7" s="22"/>
      <c r="V7" s="10"/>
    </row>
    <row r="8" spans="2:22" x14ac:dyDescent="0.2">
      <c r="B8" s="9" t="s">
        <v>14</v>
      </c>
      <c r="C8" s="10"/>
      <c r="D8" s="11"/>
      <c r="E8" s="12">
        <v>6500000</v>
      </c>
      <c r="F8" s="11"/>
      <c r="I8" s="11">
        <v>0</v>
      </c>
      <c r="J8" s="14">
        <f>+F42</f>
        <v>90000</v>
      </c>
      <c r="L8" s="15">
        <f>SUM(L6:L7)</f>
        <v>0</v>
      </c>
      <c r="M8" s="14">
        <f>SUM(M6:M7)</f>
        <v>650000</v>
      </c>
      <c r="N8" s="2" t="s">
        <v>32</v>
      </c>
      <c r="P8" s="10"/>
      <c r="Q8" s="22"/>
      <c r="R8" s="10"/>
      <c r="S8" s="10"/>
      <c r="T8" s="10"/>
      <c r="U8" s="22"/>
      <c r="V8" s="10"/>
    </row>
    <row r="9" spans="2:22" ht="12.75" thickBot="1" x14ac:dyDescent="0.25">
      <c r="B9" s="9"/>
      <c r="C9" s="10" t="s">
        <v>38</v>
      </c>
      <c r="D9" s="11"/>
      <c r="E9" s="18"/>
      <c r="F9" s="15">
        <v>650000</v>
      </c>
      <c r="G9" s="19"/>
      <c r="I9" s="20">
        <v>0</v>
      </c>
      <c r="J9" s="21">
        <v>0</v>
      </c>
      <c r="L9" s="15"/>
      <c r="M9" s="22"/>
      <c r="P9" s="10"/>
      <c r="Q9" s="22"/>
      <c r="R9" s="10"/>
      <c r="S9" s="10"/>
      <c r="T9" s="10"/>
      <c r="U9" s="22"/>
      <c r="V9" s="10"/>
    </row>
    <row r="10" spans="2:22" x14ac:dyDescent="0.2">
      <c r="B10" s="9"/>
      <c r="C10" s="10" t="s">
        <v>5</v>
      </c>
      <c r="D10" s="11"/>
      <c r="E10" s="18"/>
      <c r="F10" s="15">
        <f>+E6+E7+E8-F9</f>
        <v>20850000</v>
      </c>
      <c r="I10" s="15">
        <f>SUM(I6:I9)</f>
        <v>6950000</v>
      </c>
      <c r="J10" s="14">
        <f>SUM(J6:J9)</f>
        <v>6540000</v>
      </c>
      <c r="P10" s="10"/>
      <c r="Q10" s="22"/>
      <c r="R10" s="10"/>
      <c r="S10" s="10"/>
      <c r="T10" s="10"/>
      <c r="U10" s="10"/>
      <c r="V10" s="10"/>
    </row>
    <row r="11" spans="2:22" x14ac:dyDescent="0.2">
      <c r="B11" s="9" t="s">
        <v>6</v>
      </c>
      <c r="C11" s="10"/>
      <c r="D11" s="11"/>
      <c r="E11" s="18"/>
      <c r="F11" s="11"/>
      <c r="H11" s="23"/>
      <c r="I11" s="15">
        <f>+I10-J10</f>
        <v>410000</v>
      </c>
      <c r="J11" s="37" t="s">
        <v>30</v>
      </c>
      <c r="P11" s="10"/>
      <c r="Q11" s="22"/>
      <c r="R11" s="10"/>
      <c r="S11" s="10"/>
      <c r="T11" s="10"/>
      <c r="U11" s="10"/>
      <c r="V11" s="10"/>
    </row>
    <row r="12" spans="2:22" x14ac:dyDescent="0.2">
      <c r="B12" s="24">
        <v>40941</v>
      </c>
      <c r="C12" s="25">
        <v>2</v>
      </c>
      <c r="D12" s="26"/>
      <c r="E12" s="18"/>
      <c r="F12" s="11"/>
      <c r="P12" s="10"/>
      <c r="Q12" s="22"/>
      <c r="R12" s="10"/>
      <c r="S12" s="10"/>
      <c r="T12" s="10"/>
      <c r="U12" s="10"/>
      <c r="V12" s="10"/>
    </row>
    <row r="13" spans="2:22" x14ac:dyDescent="0.2">
      <c r="B13" s="27" t="s">
        <v>2</v>
      </c>
      <c r="C13" s="25"/>
      <c r="D13" s="11"/>
      <c r="E13" s="15">
        <f>+E6*90%</f>
        <v>4500000</v>
      </c>
      <c r="F13" s="11"/>
      <c r="P13" s="10"/>
      <c r="Q13" s="22"/>
      <c r="R13" s="10"/>
      <c r="S13" s="10"/>
      <c r="T13" s="10"/>
      <c r="U13" s="22"/>
      <c r="V13" s="10"/>
    </row>
    <row r="14" spans="2:22" ht="12.75" thickBot="1" x14ac:dyDescent="0.25">
      <c r="B14" s="27"/>
      <c r="C14" s="25" t="s">
        <v>1</v>
      </c>
      <c r="D14" s="11"/>
      <c r="E14" s="18"/>
      <c r="F14" s="15">
        <f>+E13</f>
        <v>4500000</v>
      </c>
      <c r="G14" s="19"/>
      <c r="I14" s="54" t="s">
        <v>31</v>
      </c>
      <c r="J14" s="54"/>
      <c r="L14" s="54" t="s">
        <v>5</v>
      </c>
      <c r="M14" s="54"/>
      <c r="P14" s="10"/>
      <c r="Q14" s="10"/>
      <c r="R14" s="10"/>
      <c r="S14" s="10"/>
      <c r="T14" s="10"/>
      <c r="U14" s="10"/>
      <c r="V14" s="10"/>
    </row>
    <row r="15" spans="2:22" x14ac:dyDescent="0.2">
      <c r="B15" s="9" t="s">
        <v>15</v>
      </c>
      <c r="C15" s="25"/>
      <c r="D15" s="11"/>
      <c r="E15" s="18"/>
      <c r="F15" s="11"/>
      <c r="I15" s="13">
        <f>+E7</f>
        <v>10000000</v>
      </c>
      <c r="J15" s="14">
        <f>+F24</f>
        <v>4000000</v>
      </c>
      <c r="L15" s="13">
        <v>0</v>
      </c>
      <c r="M15" s="14">
        <f>+F10</f>
        <v>20850000</v>
      </c>
      <c r="P15" s="10"/>
      <c r="Q15" s="10"/>
      <c r="R15" s="10"/>
      <c r="S15" s="10"/>
      <c r="T15" s="10"/>
      <c r="U15" s="10"/>
      <c r="V15" s="10"/>
    </row>
    <row r="16" spans="2:22" x14ac:dyDescent="0.2">
      <c r="B16" s="24">
        <v>40942</v>
      </c>
      <c r="C16" s="25">
        <v>3</v>
      </c>
      <c r="D16" s="26"/>
      <c r="E16" s="18"/>
      <c r="F16" s="11"/>
      <c r="I16" s="16">
        <v>0</v>
      </c>
      <c r="J16" s="17">
        <v>0</v>
      </c>
      <c r="L16" s="16">
        <v>0</v>
      </c>
      <c r="M16" s="17">
        <v>0</v>
      </c>
      <c r="P16" s="10"/>
      <c r="Q16" s="22"/>
      <c r="R16" s="10"/>
      <c r="S16" s="10"/>
      <c r="T16" s="10"/>
      <c r="U16" s="22"/>
      <c r="V16" s="10"/>
    </row>
    <row r="17" spans="2:22" x14ac:dyDescent="0.2">
      <c r="B17" s="9" t="s">
        <v>1</v>
      </c>
      <c r="C17" s="10"/>
      <c r="D17" s="11"/>
      <c r="E17" s="12">
        <v>1950000</v>
      </c>
      <c r="F17" s="11"/>
      <c r="I17" s="15">
        <f>SUM(I15:I16)</f>
        <v>10000000</v>
      </c>
      <c r="J17" s="14">
        <f>SUM(J15:J16)</f>
        <v>4000000</v>
      </c>
      <c r="L17" s="15">
        <f>SUM(L15:L16)</f>
        <v>0</v>
      </c>
      <c r="M17" s="14">
        <f>SUM(M15:M16)</f>
        <v>20850000</v>
      </c>
      <c r="N17" s="2" t="s">
        <v>32</v>
      </c>
      <c r="P17" s="10"/>
      <c r="Q17" s="22"/>
      <c r="R17" s="10"/>
      <c r="S17" s="10"/>
      <c r="T17" s="10"/>
      <c r="U17" s="22"/>
      <c r="V17" s="10"/>
    </row>
    <row r="18" spans="2:22" x14ac:dyDescent="0.2">
      <c r="B18" s="9" t="s">
        <v>3</v>
      </c>
      <c r="C18" s="10"/>
      <c r="D18" s="11"/>
      <c r="E18" s="12">
        <v>4550000</v>
      </c>
      <c r="F18" s="11"/>
      <c r="H18" s="23"/>
      <c r="I18" s="15">
        <f>+I17-J17</f>
        <v>6000000</v>
      </c>
      <c r="J18" s="37" t="s">
        <v>30</v>
      </c>
      <c r="L18" s="15"/>
      <c r="M18" s="22"/>
      <c r="P18" s="10"/>
      <c r="Q18" s="22"/>
      <c r="R18" s="10"/>
      <c r="S18" s="10"/>
      <c r="T18" s="10"/>
      <c r="U18" s="22"/>
      <c r="V18" s="10"/>
    </row>
    <row r="19" spans="2:22" x14ac:dyDescent="0.2">
      <c r="B19" s="9"/>
      <c r="C19" s="10" t="s">
        <v>7</v>
      </c>
      <c r="D19" s="11"/>
      <c r="E19" s="18"/>
      <c r="F19" s="15">
        <v>5462185</v>
      </c>
      <c r="G19" s="19"/>
      <c r="I19" s="22"/>
      <c r="J19" s="22"/>
      <c r="P19" s="10"/>
      <c r="Q19" s="10"/>
      <c r="R19" s="10"/>
      <c r="S19" s="10"/>
      <c r="T19" s="10"/>
      <c r="U19" s="10"/>
      <c r="V19" s="10"/>
    </row>
    <row r="20" spans="2:22" x14ac:dyDescent="0.2">
      <c r="B20" s="9"/>
      <c r="C20" s="10" t="s">
        <v>8</v>
      </c>
      <c r="D20" s="11"/>
      <c r="E20" s="18"/>
      <c r="F20" s="15">
        <v>1037815</v>
      </c>
      <c r="I20" s="22"/>
      <c r="J20" s="10"/>
      <c r="P20" s="10"/>
      <c r="Q20" s="22"/>
      <c r="R20" s="10"/>
      <c r="S20" s="10"/>
      <c r="T20" s="10"/>
      <c r="U20" s="22"/>
      <c r="V20" s="10"/>
    </row>
    <row r="21" spans="2:22" ht="12.75" thickBot="1" x14ac:dyDescent="0.25">
      <c r="B21" s="9" t="s">
        <v>16</v>
      </c>
      <c r="C21" s="10"/>
      <c r="D21" s="11"/>
      <c r="E21" s="18"/>
      <c r="F21" s="11"/>
      <c r="I21" s="54" t="s">
        <v>52</v>
      </c>
      <c r="J21" s="54"/>
      <c r="L21" s="54" t="s">
        <v>7</v>
      </c>
      <c r="M21" s="54"/>
      <c r="P21" s="10"/>
      <c r="Q21" s="10"/>
      <c r="R21" s="10"/>
      <c r="S21" s="10"/>
      <c r="T21" s="10"/>
      <c r="U21" s="10"/>
      <c r="V21" s="10"/>
    </row>
    <row r="22" spans="2:22" x14ac:dyDescent="0.2">
      <c r="B22" s="24">
        <v>40942</v>
      </c>
      <c r="C22" s="25">
        <v>4</v>
      </c>
      <c r="D22" s="26"/>
      <c r="E22" s="18"/>
      <c r="F22" s="11"/>
      <c r="I22" s="13">
        <f>+E8</f>
        <v>6500000</v>
      </c>
      <c r="J22" s="14">
        <v>0</v>
      </c>
      <c r="L22" s="13">
        <v>0</v>
      </c>
      <c r="M22" s="14">
        <f>+F19</f>
        <v>5462185</v>
      </c>
      <c r="P22" s="10"/>
      <c r="Q22" s="10"/>
      <c r="R22" s="10"/>
      <c r="S22" s="10"/>
      <c r="T22" s="10"/>
      <c r="U22" s="22"/>
      <c r="V22" s="10"/>
    </row>
    <row r="23" spans="2:22" x14ac:dyDescent="0.2">
      <c r="B23" s="9" t="s">
        <v>10</v>
      </c>
      <c r="C23" s="10"/>
      <c r="D23" s="11"/>
      <c r="E23" s="12">
        <v>4000000</v>
      </c>
      <c r="F23" s="15"/>
      <c r="I23" s="16">
        <f>+E36</f>
        <v>0</v>
      </c>
      <c r="J23" s="17">
        <v>0</v>
      </c>
      <c r="L23" s="16">
        <v>0</v>
      </c>
      <c r="M23" s="17">
        <v>0</v>
      </c>
      <c r="P23" s="39"/>
      <c r="Q23" s="10"/>
      <c r="R23" s="10"/>
      <c r="S23" s="10"/>
      <c r="T23" s="10"/>
      <c r="U23" s="10"/>
      <c r="V23" s="10"/>
    </row>
    <row r="24" spans="2:22" x14ac:dyDescent="0.2">
      <c r="B24" s="9"/>
      <c r="C24" s="10" t="s">
        <v>4</v>
      </c>
      <c r="D24" s="11"/>
      <c r="E24" s="12"/>
      <c r="F24" s="15">
        <f>+E23</f>
        <v>4000000</v>
      </c>
      <c r="G24" s="19"/>
      <c r="I24" s="15">
        <f>SUM(I22:I23)</f>
        <v>6500000</v>
      </c>
      <c r="J24" s="14">
        <f>SUM(J22:J23)</f>
        <v>0</v>
      </c>
      <c r="L24" s="15">
        <f>SUM(L22:L23)</f>
        <v>0</v>
      </c>
      <c r="M24" s="14">
        <f>SUM(M22:M23)</f>
        <v>5462185</v>
      </c>
      <c r="N24" s="2" t="s">
        <v>32</v>
      </c>
      <c r="P24" s="10"/>
      <c r="Q24" s="10"/>
      <c r="R24" s="10"/>
      <c r="S24" s="10"/>
      <c r="T24" s="10"/>
      <c r="U24" s="10"/>
      <c r="V24" s="10"/>
    </row>
    <row r="25" spans="2:22" x14ac:dyDescent="0.2">
      <c r="B25" s="9" t="s">
        <v>11</v>
      </c>
      <c r="C25" s="10"/>
      <c r="D25" s="11"/>
      <c r="E25" s="18"/>
      <c r="F25" s="11"/>
      <c r="H25" s="23"/>
      <c r="I25" s="15">
        <f>+I24-J24</f>
        <v>6500000</v>
      </c>
      <c r="J25" s="37" t="s">
        <v>30</v>
      </c>
      <c r="P25" s="10"/>
      <c r="Q25" s="22"/>
      <c r="R25" s="10"/>
      <c r="S25" s="10"/>
      <c r="T25" s="10"/>
      <c r="U25" s="10"/>
      <c r="V25" s="10"/>
    </row>
    <row r="26" spans="2:22" x14ac:dyDescent="0.2">
      <c r="B26" s="24">
        <v>40943</v>
      </c>
      <c r="C26" s="25">
        <v>5</v>
      </c>
      <c r="D26" s="26"/>
      <c r="E26" s="18"/>
      <c r="F26" s="11"/>
      <c r="P26" s="10"/>
      <c r="Q26" s="10"/>
      <c r="R26" s="10"/>
      <c r="S26" s="10"/>
      <c r="T26" s="10"/>
      <c r="U26" s="10"/>
      <c r="V26" s="10"/>
    </row>
    <row r="27" spans="2:22" x14ac:dyDescent="0.2">
      <c r="B27" s="27" t="s">
        <v>2</v>
      </c>
      <c r="C27" s="25"/>
      <c r="D27" s="11"/>
      <c r="E27" s="12">
        <v>1950000</v>
      </c>
      <c r="F27" s="11"/>
      <c r="P27" s="10"/>
      <c r="Q27" s="10"/>
      <c r="R27" s="10"/>
      <c r="S27" s="10"/>
      <c r="T27" s="10"/>
      <c r="U27" s="10"/>
      <c r="V27" s="10"/>
    </row>
    <row r="28" spans="2:22" x14ac:dyDescent="0.2">
      <c r="B28" s="27"/>
      <c r="C28" s="25"/>
      <c r="D28" s="11"/>
      <c r="E28" s="12"/>
      <c r="F28" s="11"/>
      <c r="P28" s="10"/>
      <c r="Q28" s="22"/>
      <c r="R28" s="10"/>
      <c r="S28" s="10"/>
      <c r="T28" s="10"/>
      <c r="U28" s="10"/>
      <c r="V28" s="10"/>
    </row>
    <row r="29" spans="2:22" ht="12.75" thickBot="1" x14ac:dyDescent="0.25">
      <c r="B29" s="27"/>
      <c r="C29" s="25" t="s">
        <v>1</v>
      </c>
      <c r="D29" s="11"/>
      <c r="E29" s="18"/>
      <c r="F29" s="15">
        <f>+E27</f>
        <v>1950000</v>
      </c>
      <c r="G29" s="19"/>
      <c r="I29" s="54" t="s">
        <v>2</v>
      </c>
      <c r="J29" s="54"/>
      <c r="L29" s="54" t="s">
        <v>8</v>
      </c>
      <c r="M29" s="54"/>
      <c r="P29" s="10"/>
      <c r="Q29" s="22"/>
      <c r="R29" s="10"/>
      <c r="S29" s="10"/>
      <c r="T29" s="10"/>
      <c r="U29" s="10"/>
      <c r="V29" s="10"/>
    </row>
    <row r="30" spans="2:22" x14ac:dyDescent="0.2">
      <c r="B30" s="27" t="s">
        <v>17</v>
      </c>
      <c r="C30" s="25"/>
      <c r="D30" s="11"/>
      <c r="E30" s="18"/>
      <c r="F30" s="11"/>
      <c r="I30" s="13">
        <f>+E13</f>
        <v>4500000</v>
      </c>
      <c r="J30" s="14">
        <f>+F33</f>
        <v>42500</v>
      </c>
      <c r="L30" s="13">
        <f>+E70</f>
        <v>1037815</v>
      </c>
      <c r="M30" s="14">
        <f>+F20</f>
        <v>1037815</v>
      </c>
      <c r="P30" s="10"/>
      <c r="Q30" s="22"/>
      <c r="R30" s="10"/>
      <c r="S30" s="10"/>
      <c r="T30" s="10"/>
      <c r="U30" s="10"/>
      <c r="V30" s="10"/>
    </row>
    <row r="31" spans="2:22" x14ac:dyDescent="0.2">
      <c r="B31" s="24">
        <v>40949</v>
      </c>
      <c r="C31" s="25">
        <v>6</v>
      </c>
      <c r="D31" s="26"/>
      <c r="E31" s="18"/>
      <c r="F31" s="11"/>
      <c r="I31" s="15">
        <f>+E27</f>
        <v>1950000</v>
      </c>
      <c r="J31" s="14">
        <f>+F43</f>
        <v>180000</v>
      </c>
      <c r="L31" s="16">
        <v>0</v>
      </c>
      <c r="M31" s="17">
        <v>0</v>
      </c>
      <c r="P31" s="10"/>
      <c r="Q31" s="10"/>
      <c r="R31" s="10"/>
      <c r="S31" s="10"/>
      <c r="T31" s="10"/>
      <c r="U31" s="10"/>
      <c r="V31" s="10"/>
    </row>
    <row r="32" spans="2:22" x14ac:dyDescent="0.2">
      <c r="B32" s="27" t="s">
        <v>18</v>
      </c>
      <c r="C32" s="25"/>
      <c r="D32" s="11"/>
      <c r="E32" s="12">
        <f>27000+15500</f>
        <v>42500</v>
      </c>
      <c r="F32" s="11"/>
      <c r="I32" s="15">
        <f>+E66</f>
        <v>4550000</v>
      </c>
      <c r="J32" s="14">
        <f>+F47</f>
        <v>1000000</v>
      </c>
      <c r="L32" s="15">
        <f>SUM(L30:L31)</f>
        <v>1037815</v>
      </c>
      <c r="M32" s="14">
        <f>SUM(M30:M31)</f>
        <v>1037815</v>
      </c>
      <c r="P32" s="10"/>
      <c r="Q32" s="10"/>
      <c r="R32" s="10"/>
      <c r="S32" s="10"/>
      <c r="T32" s="10"/>
      <c r="U32" s="10"/>
      <c r="V32" s="10"/>
    </row>
    <row r="33" spans="2:22" x14ac:dyDescent="0.2">
      <c r="B33" s="27"/>
      <c r="C33" s="25" t="s">
        <v>2</v>
      </c>
      <c r="D33" s="11"/>
      <c r="E33" s="18"/>
      <c r="F33" s="15">
        <f>+E32</f>
        <v>42500</v>
      </c>
      <c r="G33" s="19"/>
      <c r="I33" s="11">
        <v>0</v>
      </c>
      <c r="J33" s="14">
        <f>+F56</f>
        <v>32000</v>
      </c>
      <c r="P33" s="10"/>
      <c r="Q33" s="22"/>
      <c r="R33" s="10"/>
      <c r="S33" s="10"/>
      <c r="T33" s="10"/>
      <c r="U33" s="10"/>
      <c r="V33" s="10"/>
    </row>
    <row r="34" spans="2:22" x14ac:dyDescent="0.2">
      <c r="B34" s="27" t="s">
        <v>19</v>
      </c>
      <c r="C34" s="25"/>
      <c r="D34" s="11"/>
      <c r="E34" s="18"/>
      <c r="F34" s="11"/>
      <c r="I34" s="11">
        <v>0</v>
      </c>
      <c r="J34" s="14">
        <f>+F62</f>
        <v>1250000</v>
      </c>
      <c r="P34" s="10"/>
      <c r="Q34" s="10"/>
      <c r="R34" s="10"/>
      <c r="S34" s="10"/>
      <c r="T34" s="10"/>
      <c r="U34" s="10"/>
      <c r="V34" s="10"/>
    </row>
    <row r="35" spans="2:22" ht="12.75" thickBot="1" x14ac:dyDescent="0.25">
      <c r="B35" s="24"/>
      <c r="C35" s="25"/>
      <c r="D35" s="26"/>
      <c r="E35" s="18"/>
      <c r="F35" s="11"/>
      <c r="I35" s="20">
        <v>0</v>
      </c>
      <c r="J35" s="21">
        <f>+F52</f>
        <v>302800</v>
      </c>
      <c r="L35" s="55"/>
      <c r="M35" s="55"/>
      <c r="P35" s="10"/>
      <c r="Q35" s="10"/>
      <c r="R35" s="10"/>
      <c r="S35" s="10"/>
      <c r="T35" s="10"/>
      <c r="U35" s="10"/>
      <c r="V35" s="10"/>
    </row>
    <row r="36" spans="2:22" x14ac:dyDescent="0.2">
      <c r="B36" s="27"/>
      <c r="C36" s="25"/>
      <c r="D36" s="11"/>
      <c r="E36" s="12"/>
      <c r="F36" s="11"/>
      <c r="I36" s="15">
        <f>SUM(I30:I35)</f>
        <v>11000000</v>
      </c>
      <c r="J36" s="14">
        <f>SUM(J30:J35)</f>
        <v>2807300</v>
      </c>
      <c r="L36" s="22"/>
      <c r="M36" s="22"/>
      <c r="P36" s="10"/>
      <c r="Q36" s="22"/>
      <c r="R36" s="10"/>
      <c r="S36" s="10"/>
      <c r="T36" s="10"/>
      <c r="U36" s="10"/>
      <c r="V36" s="10"/>
    </row>
    <row r="37" spans="2:22" x14ac:dyDescent="0.2">
      <c r="B37" s="27"/>
      <c r="C37" s="25"/>
      <c r="D37" s="11"/>
      <c r="E37" s="18"/>
      <c r="F37" s="12"/>
      <c r="H37" s="23"/>
      <c r="I37" s="15">
        <f>+I36-J36</f>
        <v>8192700</v>
      </c>
      <c r="J37" s="37" t="s">
        <v>30</v>
      </c>
      <c r="L37" s="22"/>
      <c r="M37" s="22"/>
      <c r="P37" s="10"/>
      <c r="Q37" s="22"/>
      <c r="R37" s="10"/>
      <c r="S37" s="10"/>
      <c r="T37" s="10"/>
      <c r="U37" s="10"/>
      <c r="V37" s="10"/>
    </row>
    <row r="38" spans="2:22" x14ac:dyDescent="0.2">
      <c r="B38" s="27"/>
      <c r="C38" s="25"/>
      <c r="D38" s="11"/>
      <c r="E38" s="18"/>
      <c r="F38" s="11"/>
      <c r="G38" s="19"/>
      <c r="L38" s="22"/>
      <c r="M38" s="22"/>
      <c r="P38" s="10"/>
      <c r="Q38" s="22"/>
      <c r="R38" s="10"/>
      <c r="S38" s="10"/>
      <c r="T38" s="10"/>
      <c r="U38" s="10"/>
      <c r="V38" s="10"/>
    </row>
    <row r="39" spans="2:22" x14ac:dyDescent="0.2">
      <c r="B39" s="24">
        <v>40955</v>
      </c>
      <c r="C39" s="25">
        <v>7</v>
      </c>
      <c r="D39" s="26"/>
      <c r="E39" s="18"/>
      <c r="F39" s="11"/>
      <c r="L39" s="10"/>
      <c r="M39" s="10"/>
      <c r="P39" s="10"/>
      <c r="Q39" s="22"/>
      <c r="R39" s="10"/>
      <c r="S39" s="10"/>
      <c r="T39" s="10"/>
      <c r="U39" s="10"/>
      <c r="V39" s="10"/>
    </row>
    <row r="40" spans="2:22" ht="12.75" thickBot="1" x14ac:dyDescent="0.25">
      <c r="B40" s="27" t="s">
        <v>21</v>
      </c>
      <c r="C40" s="25"/>
      <c r="D40" s="11"/>
      <c r="E40" s="12">
        <v>90000</v>
      </c>
      <c r="F40" s="11"/>
      <c r="I40" s="54" t="s">
        <v>3</v>
      </c>
      <c r="J40" s="54"/>
      <c r="P40" s="10"/>
      <c r="Q40" s="22"/>
      <c r="R40" s="10"/>
      <c r="S40" s="10"/>
      <c r="T40" s="10"/>
      <c r="U40" s="10"/>
      <c r="V40" s="10"/>
    </row>
    <row r="41" spans="2:22" ht="12.75" thickBot="1" x14ac:dyDescent="0.25">
      <c r="B41" s="27" t="s">
        <v>22</v>
      </c>
      <c r="C41" s="25"/>
      <c r="D41" s="11"/>
      <c r="E41" s="12">
        <v>180000</v>
      </c>
      <c r="F41" s="11"/>
      <c r="I41" s="13">
        <f>+E18</f>
        <v>4550000</v>
      </c>
      <c r="J41" s="14">
        <f>+F67</f>
        <v>4550000</v>
      </c>
      <c r="L41" s="54" t="s">
        <v>28</v>
      </c>
      <c r="M41" s="54"/>
      <c r="P41" s="10"/>
      <c r="Q41" s="10"/>
      <c r="R41" s="10"/>
      <c r="S41" s="10"/>
      <c r="T41" s="10"/>
      <c r="U41" s="10"/>
      <c r="V41" s="10"/>
    </row>
    <row r="42" spans="2:22" x14ac:dyDescent="0.2">
      <c r="B42" s="27"/>
      <c r="C42" s="25" t="s">
        <v>1</v>
      </c>
      <c r="D42" s="11"/>
      <c r="E42" s="18"/>
      <c r="F42" s="15">
        <f>+E40</f>
        <v>90000</v>
      </c>
      <c r="G42" s="19"/>
      <c r="I42" s="16">
        <v>0</v>
      </c>
      <c r="J42" s="17">
        <v>0</v>
      </c>
      <c r="L42" s="13">
        <v>0</v>
      </c>
      <c r="M42" s="14">
        <v>0</v>
      </c>
      <c r="P42" s="10"/>
      <c r="Q42" s="10"/>
      <c r="R42" s="10"/>
      <c r="S42" s="10"/>
      <c r="T42" s="10"/>
      <c r="U42" s="10"/>
      <c r="V42" s="10"/>
    </row>
    <row r="43" spans="2:22" x14ac:dyDescent="0.2">
      <c r="B43" s="27"/>
      <c r="C43" s="25" t="s">
        <v>2</v>
      </c>
      <c r="D43" s="11"/>
      <c r="E43" s="18"/>
      <c r="F43" s="15">
        <f>+E41</f>
        <v>180000</v>
      </c>
      <c r="H43" s="23"/>
      <c r="I43" s="15">
        <f>SUM(I41:I42)</f>
        <v>4550000</v>
      </c>
      <c r="J43" s="15">
        <f>SUM(J41:J42)</f>
        <v>4550000</v>
      </c>
      <c r="L43" s="16">
        <v>0</v>
      </c>
      <c r="M43" s="17">
        <f>+F63</f>
        <v>1250000</v>
      </c>
      <c r="P43" s="10"/>
      <c r="Q43" s="22"/>
      <c r="R43" s="10"/>
      <c r="S43" s="10"/>
      <c r="T43" s="10"/>
      <c r="U43" s="10"/>
      <c r="V43" s="10"/>
    </row>
    <row r="44" spans="2:22" x14ac:dyDescent="0.2">
      <c r="B44" s="27" t="s">
        <v>23</v>
      </c>
      <c r="C44" s="25"/>
      <c r="D44" s="11"/>
      <c r="E44" s="18"/>
      <c r="F44" s="11"/>
      <c r="L44" s="15">
        <f>SUM(L42:L43)</f>
        <v>0</v>
      </c>
      <c r="M44" s="14">
        <f>SUM(M42:M43)</f>
        <v>1250000</v>
      </c>
      <c r="P44" s="10"/>
      <c r="Q44" s="22"/>
      <c r="R44" s="10"/>
      <c r="S44" s="10"/>
      <c r="T44" s="10"/>
      <c r="U44" s="10"/>
      <c r="V44" s="10"/>
    </row>
    <row r="45" spans="2:22" x14ac:dyDescent="0.2">
      <c r="B45" s="24">
        <v>40967</v>
      </c>
      <c r="C45" s="25">
        <v>8</v>
      </c>
      <c r="D45" s="26"/>
      <c r="E45" s="18"/>
      <c r="F45" s="11"/>
      <c r="M45" s="14">
        <f>+M44-L44</f>
        <v>1250000</v>
      </c>
      <c r="N45" s="2" t="s">
        <v>32</v>
      </c>
      <c r="P45" s="10"/>
      <c r="Q45" s="10"/>
      <c r="R45" s="10"/>
      <c r="S45" s="10"/>
      <c r="T45" s="10"/>
      <c r="U45" s="10"/>
      <c r="V45" s="10"/>
    </row>
    <row r="46" spans="2:22" ht="12.75" thickBot="1" x14ac:dyDescent="0.25">
      <c r="B46" s="27" t="s">
        <v>24</v>
      </c>
      <c r="C46" s="25"/>
      <c r="D46" s="11"/>
      <c r="E46" s="12">
        <v>1000000</v>
      </c>
      <c r="F46" s="11"/>
      <c r="I46" s="54" t="s">
        <v>33</v>
      </c>
      <c r="J46" s="54"/>
      <c r="P46" s="39"/>
      <c r="Q46" s="22"/>
      <c r="R46" s="10"/>
      <c r="S46" s="10"/>
      <c r="T46" s="10"/>
      <c r="U46" s="10"/>
      <c r="V46" s="10"/>
    </row>
    <row r="47" spans="2:22" x14ac:dyDescent="0.2">
      <c r="B47" s="27"/>
      <c r="C47" s="25" t="s">
        <v>2</v>
      </c>
      <c r="D47" s="11"/>
      <c r="E47" s="18"/>
      <c r="F47" s="15">
        <f>+E46</f>
        <v>1000000</v>
      </c>
      <c r="G47" s="19"/>
      <c r="I47" s="13">
        <f>+E23</f>
        <v>4000000</v>
      </c>
      <c r="J47" s="14">
        <v>0</v>
      </c>
      <c r="P47" s="10"/>
      <c r="Q47" s="10"/>
      <c r="R47" s="10"/>
      <c r="S47" s="10"/>
      <c r="T47" s="10"/>
      <c r="U47" s="10"/>
      <c r="V47" s="10"/>
    </row>
    <row r="48" spans="2:22" ht="12.75" thickBot="1" x14ac:dyDescent="0.25">
      <c r="B48" s="27" t="s">
        <v>25</v>
      </c>
      <c r="C48" s="25"/>
      <c r="D48" s="11"/>
      <c r="E48" s="18"/>
      <c r="F48" s="11"/>
      <c r="I48" s="16">
        <v>0</v>
      </c>
      <c r="J48" s="17">
        <v>0</v>
      </c>
      <c r="L48" s="54" t="s">
        <v>29</v>
      </c>
      <c r="M48" s="54"/>
      <c r="P48" s="10"/>
      <c r="Q48" s="10"/>
      <c r="R48" s="10"/>
      <c r="S48" s="10"/>
      <c r="T48" s="10"/>
      <c r="U48" s="10"/>
      <c r="V48" s="10"/>
    </row>
    <row r="49" spans="2:22" x14ac:dyDescent="0.2">
      <c r="B49" s="24">
        <v>41029</v>
      </c>
      <c r="C49" s="25"/>
      <c r="D49" s="26"/>
      <c r="E49" s="18"/>
      <c r="F49" s="11"/>
      <c r="H49" s="23"/>
      <c r="I49" s="15">
        <f>SUM(I47:I48)</f>
        <v>4000000</v>
      </c>
      <c r="J49" s="37" t="s">
        <v>30</v>
      </c>
      <c r="L49" s="13">
        <v>0</v>
      </c>
      <c r="M49" s="14">
        <f>+F72</f>
        <v>590309</v>
      </c>
      <c r="P49" s="10"/>
      <c r="Q49" s="10"/>
      <c r="R49" s="10"/>
      <c r="S49" s="10"/>
      <c r="T49" s="10"/>
      <c r="U49" s="10"/>
      <c r="V49" s="10"/>
    </row>
    <row r="50" spans="2:22" x14ac:dyDescent="0.2">
      <c r="B50" s="27" t="s">
        <v>55</v>
      </c>
      <c r="C50" s="25"/>
      <c r="D50" s="11"/>
      <c r="E50" s="12">
        <v>254454</v>
      </c>
      <c r="F50" s="12"/>
      <c r="L50" s="16">
        <v>0</v>
      </c>
      <c r="M50" s="17">
        <v>0</v>
      </c>
      <c r="P50" s="10"/>
      <c r="Q50" s="10"/>
      <c r="R50" s="10"/>
      <c r="S50" s="10"/>
      <c r="T50" s="10"/>
      <c r="U50" s="10"/>
      <c r="V50" s="10"/>
    </row>
    <row r="51" spans="2:22" x14ac:dyDescent="0.2">
      <c r="B51" s="27" t="s">
        <v>9</v>
      </c>
      <c r="C51" s="25"/>
      <c r="D51" s="11"/>
      <c r="E51" s="12">
        <v>48346</v>
      </c>
      <c r="F51" s="12"/>
      <c r="L51" s="15">
        <f>SUM(L49:L50)</f>
        <v>0</v>
      </c>
      <c r="M51" s="14">
        <f>SUM(M49:M50)</f>
        <v>590309</v>
      </c>
      <c r="P51" s="10"/>
      <c r="Q51" s="10"/>
      <c r="R51" s="10"/>
      <c r="S51" s="10"/>
      <c r="T51" s="10"/>
      <c r="U51" s="10"/>
      <c r="V51" s="10"/>
    </row>
    <row r="52" spans="2:22" x14ac:dyDescent="0.2">
      <c r="B52" s="27"/>
      <c r="C52" s="25" t="s">
        <v>2</v>
      </c>
      <c r="D52" s="11"/>
      <c r="E52" s="12"/>
      <c r="F52" s="12">
        <v>302800</v>
      </c>
      <c r="G52" s="19"/>
      <c r="M52" s="14">
        <f>+M51-L51</f>
        <v>590309</v>
      </c>
      <c r="P52" s="10"/>
      <c r="Q52" s="10"/>
      <c r="R52" s="10"/>
      <c r="S52" s="10"/>
      <c r="T52" s="10"/>
      <c r="U52" s="10"/>
      <c r="V52" s="10"/>
    </row>
    <row r="53" spans="2:22" ht="12.75" thickBot="1" x14ac:dyDescent="0.25">
      <c r="B53" s="27"/>
      <c r="C53" s="25"/>
      <c r="D53" s="11"/>
      <c r="E53" s="18"/>
      <c r="F53" s="11"/>
      <c r="I53" s="54" t="s">
        <v>18</v>
      </c>
      <c r="J53" s="54"/>
      <c r="M53" s="14"/>
      <c r="P53" s="10"/>
      <c r="Q53" s="10"/>
      <c r="R53" s="10"/>
      <c r="S53" s="10"/>
      <c r="T53" s="10"/>
      <c r="U53" s="10"/>
      <c r="V53" s="10"/>
    </row>
    <row r="54" spans="2:22" x14ac:dyDescent="0.2">
      <c r="B54" s="24">
        <v>41090</v>
      </c>
      <c r="C54" s="25">
        <v>9</v>
      </c>
      <c r="D54" s="26"/>
      <c r="E54" s="18"/>
      <c r="F54" s="11"/>
      <c r="I54" s="13">
        <f>+E32</f>
        <v>42500</v>
      </c>
      <c r="J54" s="14">
        <v>0</v>
      </c>
      <c r="P54" s="10"/>
      <c r="Q54" s="10"/>
      <c r="R54" s="10"/>
      <c r="S54" s="10"/>
      <c r="T54" s="10"/>
      <c r="U54" s="10"/>
      <c r="V54" s="10"/>
    </row>
    <row r="55" spans="2:22" x14ac:dyDescent="0.2">
      <c r="B55" s="27" t="s">
        <v>26</v>
      </c>
      <c r="C55" s="25"/>
      <c r="D55" s="11"/>
      <c r="E55" s="12">
        <v>32000</v>
      </c>
      <c r="F55" s="11"/>
      <c r="I55" s="16">
        <f>+E50</f>
        <v>254454</v>
      </c>
      <c r="J55" s="17">
        <v>0</v>
      </c>
      <c r="P55" s="10"/>
      <c r="Q55" s="10"/>
      <c r="R55" s="10"/>
      <c r="S55" s="10"/>
      <c r="T55" s="10"/>
      <c r="U55" s="10"/>
      <c r="V55" s="10"/>
    </row>
    <row r="56" spans="2:22" x14ac:dyDescent="0.2">
      <c r="B56" s="27"/>
      <c r="C56" s="25" t="s">
        <v>2</v>
      </c>
      <c r="D56" s="11"/>
      <c r="E56" s="18"/>
      <c r="F56" s="15">
        <f>+E55</f>
        <v>32000</v>
      </c>
      <c r="G56" s="19"/>
      <c r="H56" s="23"/>
      <c r="I56" s="15">
        <f>SUM(I54:I55)</f>
        <v>296954</v>
      </c>
      <c r="J56" s="23">
        <v>0</v>
      </c>
      <c r="P56" s="10"/>
      <c r="Q56" s="10"/>
      <c r="R56" s="10"/>
      <c r="S56" s="10"/>
      <c r="T56" s="10"/>
      <c r="U56" s="10"/>
      <c r="V56" s="10"/>
    </row>
    <row r="57" spans="2:22" x14ac:dyDescent="0.2">
      <c r="B57" s="27" t="s">
        <v>27</v>
      </c>
      <c r="C57" s="25"/>
      <c r="D57" s="11"/>
      <c r="E57" s="18"/>
      <c r="F57" s="11"/>
      <c r="I57" s="8" t="s">
        <v>30</v>
      </c>
      <c r="P57" s="10"/>
      <c r="Q57" s="10"/>
      <c r="R57" s="10"/>
      <c r="S57" s="10"/>
      <c r="T57" s="10"/>
      <c r="U57" s="10"/>
      <c r="V57" s="10"/>
    </row>
    <row r="58" spans="2:22" x14ac:dyDescent="0.2">
      <c r="B58" s="27"/>
      <c r="C58" s="25"/>
      <c r="D58" s="11"/>
      <c r="E58" s="18"/>
      <c r="F58" s="11"/>
      <c r="P58" s="10"/>
      <c r="Q58" s="10"/>
      <c r="R58" s="10"/>
      <c r="S58" s="10"/>
      <c r="T58" s="10"/>
      <c r="U58" s="10"/>
      <c r="V58" s="10"/>
    </row>
    <row r="59" spans="2:22" x14ac:dyDescent="0.2">
      <c r="B59" s="24">
        <v>41118</v>
      </c>
      <c r="C59" s="25">
        <v>10</v>
      </c>
      <c r="D59" s="26"/>
      <c r="E59" s="18"/>
      <c r="F59" s="11"/>
      <c r="P59" s="10"/>
      <c r="Q59" s="10"/>
      <c r="R59" s="10"/>
      <c r="S59" s="10"/>
      <c r="T59" s="10"/>
      <c r="U59" s="10"/>
      <c r="V59" s="10"/>
    </row>
    <row r="60" spans="2:22" ht="12.75" thickBot="1" x14ac:dyDescent="0.25">
      <c r="B60" s="27" t="s">
        <v>53</v>
      </c>
      <c r="C60" s="25"/>
      <c r="D60" s="11"/>
      <c r="E60" s="12">
        <v>2100840</v>
      </c>
      <c r="F60" s="11"/>
      <c r="I60" s="54" t="s">
        <v>21</v>
      </c>
      <c r="J60" s="54"/>
      <c r="L60" s="54" t="s">
        <v>53</v>
      </c>
      <c r="M60" s="54"/>
      <c r="P60" s="10"/>
      <c r="Q60" s="10"/>
      <c r="R60" s="10"/>
      <c r="S60" s="10"/>
      <c r="T60" s="10"/>
      <c r="U60" s="10"/>
      <c r="V60" s="10"/>
    </row>
    <row r="61" spans="2:22" x14ac:dyDescent="0.2">
      <c r="B61" s="27" t="s">
        <v>9</v>
      </c>
      <c r="C61" s="25"/>
      <c r="D61" s="11"/>
      <c r="E61" s="12">
        <f>+E60*0.19</f>
        <v>399159.6</v>
      </c>
      <c r="F61" s="11"/>
      <c r="I61" s="13">
        <f>+E40</f>
        <v>90000</v>
      </c>
      <c r="J61" s="14">
        <v>0</v>
      </c>
      <c r="L61" s="13">
        <f>+E60</f>
        <v>2100840</v>
      </c>
      <c r="M61" s="14">
        <v>0</v>
      </c>
      <c r="P61" s="10"/>
      <c r="Q61" s="10"/>
      <c r="R61" s="10"/>
      <c r="S61" s="10"/>
      <c r="T61" s="10"/>
      <c r="U61" s="10"/>
      <c r="V61" s="10"/>
    </row>
    <row r="62" spans="2:22" x14ac:dyDescent="0.2">
      <c r="B62" s="27"/>
      <c r="C62" s="25" t="s">
        <v>2</v>
      </c>
      <c r="D62" s="11"/>
      <c r="E62" s="18"/>
      <c r="F62" s="12">
        <v>1250000</v>
      </c>
      <c r="G62" s="19"/>
      <c r="I62" s="16">
        <v>0</v>
      </c>
      <c r="J62" s="17">
        <v>0</v>
      </c>
      <c r="L62" s="16">
        <f>+E71</f>
        <v>0</v>
      </c>
      <c r="M62" s="17">
        <v>0</v>
      </c>
      <c r="P62" s="10"/>
      <c r="Q62" s="10"/>
      <c r="R62" s="10"/>
      <c r="S62" s="10"/>
      <c r="T62" s="10"/>
      <c r="U62" s="10"/>
      <c r="V62" s="10"/>
    </row>
    <row r="63" spans="2:22" x14ac:dyDescent="0.2">
      <c r="B63" s="27"/>
      <c r="C63" s="25" t="s">
        <v>28</v>
      </c>
      <c r="D63" s="11"/>
      <c r="E63" s="18"/>
      <c r="F63" s="12">
        <f>+F62</f>
        <v>1250000</v>
      </c>
      <c r="H63" s="23"/>
      <c r="I63" s="15">
        <f>SUM(I61:I62)</f>
        <v>90000</v>
      </c>
      <c r="J63" s="37" t="s">
        <v>30</v>
      </c>
      <c r="K63" s="23" t="s">
        <v>30</v>
      </c>
      <c r="L63" s="15">
        <f>SUM(L61:L62)</f>
        <v>2100840</v>
      </c>
      <c r="M63" s="14">
        <f>SUM(M61:M62)</f>
        <v>0</v>
      </c>
      <c r="P63" s="10"/>
      <c r="Q63" s="10"/>
      <c r="R63" s="10"/>
      <c r="S63" s="10"/>
      <c r="T63" s="10"/>
      <c r="U63" s="10"/>
      <c r="V63" s="10"/>
    </row>
    <row r="64" spans="2:22" x14ac:dyDescent="0.2">
      <c r="B64" s="27" t="s">
        <v>54</v>
      </c>
      <c r="C64" s="25"/>
      <c r="D64" s="11"/>
      <c r="E64" s="18"/>
      <c r="F64" s="15"/>
      <c r="P64" s="10"/>
      <c r="Q64" s="10"/>
      <c r="R64" s="10"/>
      <c r="S64" s="10"/>
      <c r="T64" s="10"/>
      <c r="U64" s="10"/>
      <c r="V64" s="10"/>
    </row>
    <row r="65" spans="2:22" x14ac:dyDescent="0.2">
      <c r="B65" s="24">
        <v>41274</v>
      </c>
      <c r="C65" s="25">
        <v>11</v>
      </c>
      <c r="D65" s="26"/>
      <c r="E65" s="18"/>
      <c r="F65" s="15"/>
      <c r="P65" s="10"/>
      <c r="Q65" s="10"/>
      <c r="R65" s="10"/>
      <c r="S65" s="10"/>
      <c r="T65" s="10"/>
      <c r="U65" s="10"/>
      <c r="V65" s="10"/>
    </row>
    <row r="66" spans="2:22" ht="12.75" thickBot="1" x14ac:dyDescent="0.25">
      <c r="B66" s="9" t="s">
        <v>2</v>
      </c>
      <c r="C66" s="10"/>
      <c r="D66" s="11"/>
      <c r="E66" s="12">
        <v>4550000</v>
      </c>
      <c r="F66" s="11"/>
      <c r="I66" s="54" t="s">
        <v>22</v>
      </c>
      <c r="J66" s="54"/>
      <c r="L66" s="54" t="s">
        <v>35</v>
      </c>
      <c r="M66" s="54"/>
      <c r="P66" s="10"/>
      <c r="Q66" s="10"/>
      <c r="R66" s="10"/>
      <c r="S66" s="10"/>
      <c r="T66" s="10"/>
      <c r="U66" s="10"/>
      <c r="V66" s="10"/>
    </row>
    <row r="67" spans="2:22" x14ac:dyDescent="0.2">
      <c r="B67" s="9"/>
      <c r="C67" s="10" t="s">
        <v>3</v>
      </c>
      <c r="D67" s="11"/>
      <c r="E67" s="18"/>
      <c r="F67" s="15">
        <f>+E66</f>
        <v>4550000</v>
      </c>
      <c r="G67" s="19"/>
      <c r="I67" s="13">
        <f>+E41</f>
        <v>180000</v>
      </c>
      <c r="J67" s="14">
        <v>0</v>
      </c>
      <c r="L67" s="13">
        <f>+E61</f>
        <v>399159.6</v>
      </c>
      <c r="M67" s="14">
        <f>+F71</f>
        <v>447506</v>
      </c>
      <c r="P67" s="10"/>
      <c r="Q67" s="10"/>
      <c r="R67" s="10"/>
      <c r="S67" s="10"/>
      <c r="T67" s="10"/>
      <c r="U67" s="10"/>
      <c r="V67" s="10"/>
    </row>
    <row r="68" spans="2:22" x14ac:dyDescent="0.2">
      <c r="B68" s="27" t="s">
        <v>56</v>
      </c>
      <c r="C68" s="10"/>
      <c r="D68" s="11"/>
      <c r="E68" s="18"/>
      <c r="F68" s="15"/>
      <c r="I68" s="16">
        <v>0</v>
      </c>
      <c r="J68" s="17">
        <v>0</v>
      </c>
      <c r="L68" s="16">
        <f>+E51</f>
        <v>48346</v>
      </c>
      <c r="M68" s="17">
        <v>0</v>
      </c>
      <c r="P68" s="10"/>
      <c r="Q68" s="10"/>
      <c r="R68" s="10"/>
      <c r="S68" s="10"/>
      <c r="T68" s="10"/>
      <c r="U68" s="10"/>
      <c r="V68" s="10"/>
    </row>
    <row r="69" spans="2:22" x14ac:dyDescent="0.2">
      <c r="B69" s="24">
        <v>41274</v>
      </c>
      <c r="C69" s="52">
        <v>12</v>
      </c>
      <c r="D69" s="26"/>
      <c r="E69" s="18"/>
      <c r="F69" s="11"/>
      <c r="H69" s="23"/>
      <c r="I69" s="15">
        <f>SUM(I67:I68)</f>
        <v>180000</v>
      </c>
      <c r="J69" s="37">
        <v>0</v>
      </c>
      <c r="L69" s="15">
        <f>SUM(L67:L68)</f>
        <v>447505.6</v>
      </c>
      <c r="M69" s="14">
        <f>SUM(M67:M68)</f>
        <v>447506</v>
      </c>
      <c r="P69" s="10"/>
      <c r="Q69" s="10"/>
      <c r="R69" s="10"/>
      <c r="S69" s="10"/>
      <c r="T69" s="10"/>
      <c r="U69" s="10"/>
      <c r="V69" s="10"/>
    </row>
    <row r="70" spans="2:22" x14ac:dyDescent="0.2">
      <c r="B70" s="27" t="s">
        <v>8</v>
      </c>
      <c r="C70" s="28"/>
      <c r="D70" s="11"/>
      <c r="E70" s="11">
        <v>1037815</v>
      </c>
      <c r="F70" s="11"/>
      <c r="I70" s="8" t="s">
        <v>30</v>
      </c>
      <c r="P70" s="10"/>
      <c r="Q70" s="10"/>
      <c r="R70" s="10"/>
      <c r="S70" s="10"/>
      <c r="T70" s="10"/>
      <c r="U70" s="10"/>
      <c r="V70" s="10"/>
    </row>
    <row r="71" spans="2:22" x14ac:dyDescent="0.2">
      <c r="B71" s="9"/>
      <c r="C71" s="10" t="s">
        <v>9</v>
      </c>
      <c r="D71" s="11"/>
      <c r="E71" s="15"/>
      <c r="F71" s="11">
        <v>447506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2:22" ht="12.75" thickBot="1" x14ac:dyDescent="0.25">
      <c r="B72" s="9"/>
      <c r="C72" s="10" t="s">
        <v>29</v>
      </c>
      <c r="D72" s="11"/>
      <c r="E72" s="18"/>
      <c r="F72" s="15">
        <f>+E70-F71</f>
        <v>590309</v>
      </c>
      <c r="G72" s="19"/>
      <c r="I72" s="54" t="s">
        <v>24</v>
      </c>
      <c r="J72" s="54"/>
      <c r="L72" s="54" t="s">
        <v>20</v>
      </c>
      <c r="M72" s="54"/>
      <c r="N72" s="10"/>
      <c r="O72" s="10"/>
      <c r="P72" s="10"/>
      <c r="Q72" s="10"/>
      <c r="R72" s="10"/>
      <c r="S72" s="10"/>
      <c r="T72" s="10"/>
      <c r="U72" s="10"/>
      <c r="V72" s="10"/>
    </row>
    <row r="73" spans="2:22" x14ac:dyDescent="0.2">
      <c r="B73" s="9" t="s">
        <v>57</v>
      </c>
      <c r="C73" s="10"/>
      <c r="D73" s="11"/>
      <c r="E73" s="18"/>
      <c r="F73" s="11"/>
      <c r="I73" s="13">
        <f>+E46</f>
        <v>1000000</v>
      </c>
      <c r="J73" s="14">
        <v>0</v>
      </c>
      <c r="L73" s="13">
        <v>0</v>
      </c>
      <c r="M73" s="14">
        <v>0</v>
      </c>
      <c r="N73" s="10"/>
      <c r="O73" s="10"/>
      <c r="P73" s="10"/>
      <c r="Q73" s="10"/>
      <c r="R73" s="10"/>
      <c r="S73" s="10"/>
      <c r="T73" s="10"/>
      <c r="U73" s="10"/>
      <c r="V73" s="10"/>
    </row>
    <row r="74" spans="2:22" x14ac:dyDescent="0.2">
      <c r="B74" s="27"/>
      <c r="C74" s="28"/>
      <c r="D74" s="11"/>
      <c r="E74" s="11"/>
      <c r="F74" s="11"/>
      <c r="I74" s="16">
        <v>0</v>
      </c>
      <c r="J74" s="17">
        <v>0</v>
      </c>
      <c r="L74" s="16">
        <v>0</v>
      </c>
      <c r="M74" s="17">
        <v>0</v>
      </c>
      <c r="N74" s="10"/>
      <c r="O74" s="10"/>
      <c r="P74" s="10"/>
      <c r="Q74" s="10"/>
      <c r="R74" s="10"/>
      <c r="S74" s="10"/>
      <c r="T74" s="10"/>
      <c r="U74" s="10"/>
      <c r="V74" s="10"/>
    </row>
    <row r="75" spans="2:22" x14ac:dyDescent="0.2">
      <c r="B75" s="9"/>
      <c r="C75" s="10"/>
      <c r="D75" s="11"/>
      <c r="E75" s="12"/>
      <c r="F75" s="11"/>
      <c r="H75" s="23"/>
      <c r="I75" s="15">
        <f>SUM(I73:I74)</f>
        <v>1000000</v>
      </c>
      <c r="J75" s="37" t="s">
        <v>30</v>
      </c>
      <c r="L75" s="15">
        <f>SUM(L73:L74)</f>
        <v>0</v>
      </c>
      <c r="M75" s="14">
        <f>SUM(M73:M74)</f>
        <v>0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2:22" x14ac:dyDescent="0.2">
      <c r="B76" s="9"/>
      <c r="C76" s="10"/>
      <c r="D76" s="10"/>
      <c r="E76" s="12"/>
      <c r="F76" s="12"/>
      <c r="G76" s="19"/>
      <c r="M76" s="14">
        <f>+M75-L75</f>
        <v>0</v>
      </c>
      <c r="N76" s="10" t="s">
        <v>32</v>
      </c>
      <c r="O76" s="10"/>
    </row>
    <row r="77" spans="2:22" x14ac:dyDescent="0.2">
      <c r="B77" s="9"/>
      <c r="C77" s="10"/>
      <c r="D77" s="10"/>
      <c r="E77" s="9"/>
      <c r="F77" s="12"/>
      <c r="J77" s="29"/>
      <c r="L77" s="55"/>
      <c r="M77" s="55"/>
      <c r="N77" s="10"/>
      <c r="O77" s="10"/>
    </row>
    <row r="78" spans="2:22" ht="12.75" thickBot="1" x14ac:dyDescent="0.25">
      <c r="B78" s="9"/>
      <c r="C78" s="10"/>
      <c r="D78" s="10"/>
      <c r="E78" s="30"/>
      <c r="F78" s="31"/>
      <c r="I78" s="32" t="s">
        <v>34</v>
      </c>
      <c r="J78" s="33"/>
      <c r="L78" s="22"/>
      <c r="M78" s="34"/>
      <c r="N78" s="10"/>
      <c r="O78" s="10"/>
    </row>
    <row r="79" spans="2:22" x14ac:dyDescent="0.2">
      <c r="B79" s="30"/>
      <c r="C79" s="35"/>
      <c r="D79" s="26" t="s">
        <v>0</v>
      </c>
      <c r="E79" s="36">
        <f>SUM(E5:E78)</f>
        <v>48185114.600000001</v>
      </c>
      <c r="F79" s="36">
        <f>SUM(F5:F78)</f>
        <v>48185115</v>
      </c>
      <c r="I79" s="13">
        <f>+E55</f>
        <v>32000</v>
      </c>
      <c r="J79" s="14">
        <v>0</v>
      </c>
      <c r="L79" s="55"/>
      <c r="M79" s="55"/>
      <c r="N79" s="10"/>
      <c r="O79" s="10"/>
    </row>
    <row r="80" spans="2:22" x14ac:dyDescent="0.2">
      <c r="I80" s="16">
        <v>0</v>
      </c>
      <c r="J80" s="17">
        <v>0</v>
      </c>
      <c r="L80" s="22"/>
      <c r="M80" s="22"/>
      <c r="N80" s="10"/>
      <c r="O80" s="10"/>
    </row>
    <row r="81" spans="2:15" x14ac:dyDescent="0.2">
      <c r="B81" s="39"/>
      <c r="C81" s="10"/>
      <c r="D81" s="10"/>
      <c r="E81" s="10"/>
      <c r="F81" s="10"/>
      <c r="G81" s="10"/>
      <c r="H81" s="23"/>
      <c r="I81" s="15">
        <f>SUM(I79:I80)</f>
        <v>32000</v>
      </c>
      <c r="J81" s="37" t="s">
        <v>30</v>
      </c>
      <c r="L81" s="22"/>
      <c r="M81" s="22"/>
      <c r="N81" s="10"/>
      <c r="O81" s="10"/>
    </row>
    <row r="82" spans="2:15" x14ac:dyDescent="0.2">
      <c r="B82" s="22"/>
      <c r="C82" s="10"/>
      <c r="D82" s="22"/>
      <c r="E82" s="10"/>
      <c r="F82" s="22"/>
      <c r="G82" s="10"/>
      <c r="L82" s="22"/>
      <c r="M82" s="22"/>
      <c r="N82" s="10"/>
    </row>
    <row r="83" spans="2:15" x14ac:dyDescent="0.2">
      <c r="B83" s="10"/>
      <c r="C83" s="10"/>
      <c r="D83" s="10"/>
      <c r="E83" s="10"/>
      <c r="F83" s="10"/>
      <c r="G83" s="10"/>
      <c r="J83" s="29"/>
      <c r="L83" s="10"/>
      <c r="M83" s="22"/>
      <c r="N83" s="10"/>
    </row>
    <row r="84" spans="2:15" x14ac:dyDescent="0.2">
      <c r="I84" s="55"/>
      <c r="J84" s="55"/>
      <c r="L84" s="10"/>
      <c r="M84" s="10"/>
      <c r="N84" s="10"/>
    </row>
    <row r="85" spans="2:15" x14ac:dyDescent="0.2">
      <c r="I85" s="22"/>
      <c r="J85" s="22"/>
      <c r="L85" s="10"/>
      <c r="M85" s="29"/>
      <c r="N85" s="10"/>
    </row>
    <row r="86" spans="2:15" x14ac:dyDescent="0.2">
      <c r="I86" s="22"/>
      <c r="J86" s="22"/>
      <c r="L86" s="55"/>
      <c r="M86" s="55"/>
      <c r="N86" s="10"/>
    </row>
    <row r="87" spans="2:15" x14ac:dyDescent="0.2">
      <c r="H87" s="23"/>
      <c r="I87" s="22"/>
      <c r="J87" s="38"/>
      <c r="L87" s="22"/>
      <c r="M87" s="22"/>
      <c r="N87" s="10"/>
    </row>
    <row r="88" spans="2:15" x14ac:dyDescent="0.2">
      <c r="L88" s="22"/>
      <c r="M88" s="22"/>
      <c r="N88" s="10"/>
    </row>
    <row r="89" spans="2:15" x14ac:dyDescent="0.2">
      <c r="L89" s="22"/>
      <c r="M89" s="22"/>
      <c r="N89" s="10"/>
    </row>
  </sheetData>
  <mergeCells count="24">
    <mergeCell ref="L77:M77"/>
    <mergeCell ref="L79:M79"/>
    <mergeCell ref="I84:J84"/>
    <mergeCell ref="L86:M86"/>
    <mergeCell ref="I60:J60"/>
    <mergeCell ref="I66:J66"/>
    <mergeCell ref="I72:J72"/>
    <mergeCell ref="L60:M60"/>
    <mergeCell ref="L66:M66"/>
    <mergeCell ref="L72:M72"/>
    <mergeCell ref="I5:J5"/>
    <mergeCell ref="I14:J14"/>
    <mergeCell ref="I21:J21"/>
    <mergeCell ref="L5:M5"/>
    <mergeCell ref="L14:M14"/>
    <mergeCell ref="I40:J40"/>
    <mergeCell ref="L21:M21"/>
    <mergeCell ref="L29:M29"/>
    <mergeCell ref="I46:J46"/>
    <mergeCell ref="I53:J53"/>
    <mergeCell ref="L35:M35"/>
    <mergeCell ref="I29:J29"/>
    <mergeCell ref="L48:M48"/>
    <mergeCell ref="L41:M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B20" sqref="B20"/>
    </sheetView>
  </sheetViews>
  <sheetFormatPr baseColWidth="10" defaultRowHeight="15" x14ac:dyDescent="0.25"/>
  <cols>
    <col min="1" max="1" width="19" bestFit="1" customWidth="1"/>
    <col min="4" max="4" width="14.7109375" bestFit="1" customWidth="1"/>
    <col min="5" max="5" width="16.85546875" bestFit="1" customWidth="1"/>
  </cols>
  <sheetData>
    <row r="1" spans="1:9" x14ac:dyDescent="0.25">
      <c r="A1" s="40" t="s">
        <v>51</v>
      </c>
    </row>
    <row r="3" spans="1:9" x14ac:dyDescent="0.25">
      <c r="A3" s="41" t="s">
        <v>40</v>
      </c>
      <c r="B3" s="41" t="s">
        <v>41</v>
      </c>
      <c r="C3" s="41" t="s">
        <v>42</v>
      </c>
      <c r="D3" s="41" t="s">
        <v>43</v>
      </c>
      <c r="E3" s="41" t="s">
        <v>44</v>
      </c>
      <c r="F3" s="41" t="s">
        <v>36</v>
      </c>
      <c r="G3" s="41" t="s">
        <v>45</v>
      </c>
      <c r="H3" s="41" t="s">
        <v>46</v>
      </c>
      <c r="I3" s="41" t="s">
        <v>47</v>
      </c>
    </row>
    <row r="4" spans="1:9" x14ac:dyDescent="0.25">
      <c r="A4" s="41" t="str">
        <f>+'Libro Diario y Mayor'!I5</f>
        <v>Caja</v>
      </c>
      <c r="B4" s="42">
        <f>+'Libro Diario y Mayor'!I10</f>
        <v>6950000</v>
      </c>
      <c r="C4" s="42">
        <f>+'Libro Diario y Mayor'!J10</f>
        <v>6540000</v>
      </c>
      <c r="D4" s="42">
        <f>+'Libro Diario y Mayor'!I11</f>
        <v>410000</v>
      </c>
      <c r="E4" s="43" t="s">
        <v>48</v>
      </c>
      <c r="F4" s="42">
        <f t="shared" ref="F4:F10" si="0">+D4</f>
        <v>410000</v>
      </c>
      <c r="G4" s="43" t="s">
        <v>48</v>
      </c>
      <c r="H4" s="43" t="s">
        <v>48</v>
      </c>
      <c r="I4" s="43" t="s">
        <v>48</v>
      </c>
    </row>
    <row r="5" spans="1:9" x14ac:dyDescent="0.25">
      <c r="A5" s="41" t="str">
        <f>+'Libro Diario y Mayor'!I29</f>
        <v>Banco</v>
      </c>
      <c r="B5" s="42">
        <f>+'Libro Diario y Mayor'!I36</f>
        <v>11000000</v>
      </c>
      <c r="C5" s="42">
        <f>+'Libro Diario y Mayor'!J36</f>
        <v>2807300</v>
      </c>
      <c r="D5" s="42">
        <f>+'Libro Diario y Mayor'!I37</f>
        <v>8192700</v>
      </c>
      <c r="E5" s="43" t="s">
        <v>48</v>
      </c>
      <c r="F5" s="42">
        <f t="shared" si="0"/>
        <v>8192700</v>
      </c>
      <c r="G5" s="43" t="s">
        <v>48</v>
      </c>
      <c r="H5" s="43" t="s">
        <v>48</v>
      </c>
      <c r="I5" s="43" t="s">
        <v>48</v>
      </c>
    </row>
    <row r="6" spans="1:9" x14ac:dyDescent="0.25">
      <c r="A6" s="41" t="str">
        <f>+'Libro Diario y Mayor'!I21</f>
        <v>Vehiculo</v>
      </c>
      <c r="B6" s="42">
        <f>+'Libro Diario y Mayor'!I24</f>
        <v>6500000</v>
      </c>
      <c r="C6" s="42">
        <f>+'Libro Diario y Mayor'!J24</f>
        <v>0</v>
      </c>
      <c r="D6" s="42">
        <f>+'Libro Diario y Mayor'!I25</f>
        <v>6500000</v>
      </c>
      <c r="E6" s="43" t="s">
        <v>48</v>
      </c>
      <c r="F6" s="42">
        <f t="shared" si="0"/>
        <v>6500000</v>
      </c>
      <c r="G6" s="43" t="s">
        <v>48</v>
      </c>
      <c r="H6" s="43" t="s">
        <v>48</v>
      </c>
      <c r="I6" s="43" t="s">
        <v>48</v>
      </c>
    </row>
    <row r="7" spans="1:9" x14ac:dyDescent="0.25">
      <c r="A7" s="42" t="str">
        <f>+'Libro Diario y Mayor'!I14</f>
        <v>Mercadería</v>
      </c>
      <c r="B7" s="42">
        <f>+'Libro Diario y Mayor'!I17</f>
        <v>10000000</v>
      </c>
      <c r="C7" s="42">
        <f>+'Libro Diario y Mayor'!J17</f>
        <v>4000000</v>
      </c>
      <c r="D7" s="42">
        <f>+'Libro Diario y Mayor'!I18</f>
        <v>6000000</v>
      </c>
      <c r="E7" s="43" t="s">
        <v>48</v>
      </c>
      <c r="F7" s="42">
        <f t="shared" si="0"/>
        <v>6000000</v>
      </c>
      <c r="G7" s="43" t="s">
        <v>48</v>
      </c>
      <c r="H7" s="43" t="s">
        <v>48</v>
      </c>
      <c r="I7" s="43" t="s">
        <v>48</v>
      </c>
    </row>
    <row r="8" spans="1:9" x14ac:dyDescent="0.25">
      <c r="A8" s="41" t="str">
        <f>+'Libro Diario y Mayor'!I40</f>
        <v>Clientes</v>
      </c>
      <c r="B8" s="42">
        <f>+'Libro Diario y Mayor'!I43</f>
        <v>4550000</v>
      </c>
      <c r="C8" s="41">
        <f>+'Libro Diario y Mayor'!J43</f>
        <v>4550000</v>
      </c>
      <c r="D8" s="42">
        <v>0</v>
      </c>
      <c r="E8" s="43" t="s">
        <v>48</v>
      </c>
      <c r="F8" s="42">
        <f t="shared" si="0"/>
        <v>0</v>
      </c>
      <c r="G8" s="43" t="s">
        <v>48</v>
      </c>
      <c r="H8" s="43" t="s">
        <v>48</v>
      </c>
      <c r="I8" s="43" t="s">
        <v>48</v>
      </c>
    </row>
    <row r="9" spans="1:9" x14ac:dyDescent="0.25">
      <c r="A9" s="41">
        <f>+'Libro Diario y Mayor'!P12</f>
        <v>0</v>
      </c>
      <c r="B9" s="42">
        <f>+'Libro Diario y Mayor'!I69</f>
        <v>180000</v>
      </c>
      <c r="C9" s="41">
        <f>+'Libro Diario y Mayor'!J69</f>
        <v>0</v>
      </c>
      <c r="D9" s="42">
        <f>+'Libro Diario y Mayor'!I69</f>
        <v>180000</v>
      </c>
      <c r="E9" s="43" t="s">
        <v>48</v>
      </c>
      <c r="F9" s="42">
        <f t="shared" si="0"/>
        <v>180000</v>
      </c>
      <c r="G9" s="43" t="s">
        <v>48</v>
      </c>
      <c r="H9" s="43" t="s">
        <v>48</v>
      </c>
      <c r="I9" s="43" t="s">
        <v>48</v>
      </c>
    </row>
    <row r="10" spans="1:9" x14ac:dyDescent="0.25">
      <c r="A10" s="41" t="str">
        <f>+'Libro Diario y Mayor'!L66</f>
        <v>IVA Crédito Fiscal</v>
      </c>
      <c r="B10" s="42">
        <f>+'Libro Diario y Mayor'!L69</f>
        <v>447505.6</v>
      </c>
      <c r="C10" s="42">
        <f>+'Libro Diario y Mayor'!M69</f>
        <v>447506</v>
      </c>
      <c r="D10" s="42">
        <v>0</v>
      </c>
      <c r="E10" s="43" t="s">
        <v>48</v>
      </c>
      <c r="F10" s="42">
        <f t="shared" si="0"/>
        <v>0</v>
      </c>
      <c r="G10" s="43" t="s">
        <v>48</v>
      </c>
      <c r="H10" s="43" t="s">
        <v>48</v>
      </c>
      <c r="I10" s="43" t="s">
        <v>48</v>
      </c>
    </row>
    <row r="11" spans="1:9" x14ac:dyDescent="0.25">
      <c r="A11" s="41" t="str">
        <f>+'Libro Diario y Mayor'!L60</f>
        <v>Maquinas y herramientas</v>
      </c>
      <c r="B11" s="42">
        <f>+'Libro Diario y Mayor'!L63</f>
        <v>2100840</v>
      </c>
      <c r="C11" s="42">
        <f>+'Libro Diario y Mayor'!M63</f>
        <v>0</v>
      </c>
      <c r="D11" s="42">
        <f>+B11</f>
        <v>2100840</v>
      </c>
      <c r="E11" s="43" t="s">
        <v>48</v>
      </c>
      <c r="F11" s="42">
        <f>+D11</f>
        <v>2100840</v>
      </c>
      <c r="G11" s="43" t="s">
        <v>48</v>
      </c>
      <c r="H11" s="43" t="s">
        <v>48</v>
      </c>
      <c r="I11" s="43" t="s">
        <v>48</v>
      </c>
    </row>
    <row r="12" spans="1:9" x14ac:dyDescent="0.25">
      <c r="A12" s="41">
        <f>+'Libro Diario y Mayor'!S7</f>
        <v>0</v>
      </c>
      <c r="B12" s="42">
        <f>+'Libro Diario y Mayor'!L8</f>
        <v>0</v>
      </c>
      <c r="C12" s="42">
        <f>+'Libro Diario y Mayor'!M8</f>
        <v>650000</v>
      </c>
      <c r="D12" s="43" t="s">
        <v>48</v>
      </c>
      <c r="E12" s="42">
        <f>+C12</f>
        <v>650000</v>
      </c>
      <c r="F12" s="43" t="s">
        <v>48</v>
      </c>
      <c r="G12" s="42">
        <f>+E12</f>
        <v>650000</v>
      </c>
      <c r="H12" s="43" t="s">
        <v>48</v>
      </c>
      <c r="I12" s="43" t="s">
        <v>48</v>
      </c>
    </row>
    <row r="13" spans="1:9" x14ac:dyDescent="0.25">
      <c r="A13" s="41" t="str">
        <f>+'Libro Diario y Mayor'!L41</f>
        <v>Acreedores</v>
      </c>
      <c r="B13" s="42">
        <f>+'Libro Diario y Mayor'!L44</f>
        <v>0</v>
      </c>
      <c r="C13" s="42">
        <f>+'Libro Diario y Mayor'!M44</f>
        <v>1250000</v>
      </c>
      <c r="D13" s="43" t="s">
        <v>48</v>
      </c>
      <c r="E13" s="42">
        <f>+C13</f>
        <v>1250000</v>
      </c>
      <c r="F13" s="43" t="s">
        <v>48</v>
      </c>
      <c r="G13" s="42">
        <f>+E13</f>
        <v>1250000</v>
      </c>
      <c r="H13" s="43" t="s">
        <v>48</v>
      </c>
      <c r="I13" s="43" t="s">
        <v>48</v>
      </c>
    </row>
    <row r="14" spans="1:9" x14ac:dyDescent="0.25">
      <c r="A14" s="41" t="str">
        <f>+'Libro Diario y Mayor'!L48</f>
        <v>Impuesto a Pagar</v>
      </c>
      <c r="B14" s="42">
        <f>+'Libro Diario y Mayor'!L51</f>
        <v>0</v>
      </c>
      <c r="C14" s="42">
        <f>+'Libro Diario y Mayor'!M51</f>
        <v>590309</v>
      </c>
      <c r="D14" s="43" t="s">
        <v>48</v>
      </c>
      <c r="E14" s="42">
        <f>+C14</f>
        <v>590309</v>
      </c>
      <c r="F14" s="43" t="s">
        <v>48</v>
      </c>
      <c r="G14" s="42">
        <f>+E14</f>
        <v>590309</v>
      </c>
      <c r="H14" s="43" t="s">
        <v>48</v>
      </c>
      <c r="I14" s="43" t="s">
        <v>48</v>
      </c>
    </row>
    <row r="15" spans="1:9" x14ac:dyDescent="0.25">
      <c r="A15" s="41" t="str">
        <f>+'Libro Diario y Mayor'!L29</f>
        <v>Iva Débito Fiscal</v>
      </c>
      <c r="B15" s="42">
        <f>+'Libro Diario y Mayor'!L32</f>
        <v>1037815</v>
      </c>
      <c r="C15" s="42">
        <f>+'Libro Diario y Mayor'!M32</f>
        <v>1037815</v>
      </c>
      <c r="D15" s="43" t="s">
        <v>48</v>
      </c>
      <c r="E15" s="42">
        <v>0</v>
      </c>
      <c r="F15" s="43" t="s">
        <v>48</v>
      </c>
      <c r="G15" s="42">
        <f>+E15</f>
        <v>0</v>
      </c>
      <c r="H15" s="43" t="s">
        <v>48</v>
      </c>
      <c r="I15" s="43" t="s">
        <v>48</v>
      </c>
    </row>
    <row r="16" spans="1:9" x14ac:dyDescent="0.25">
      <c r="A16" s="41" t="str">
        <f>+'Libro Diario y Mayor'!L14</f>
        <v>Capital</v>
      </c>
      <c r="B16" s="42">
        <f>+'Libro Diario y Mayor'!L17</f>
        <v>0</v>
      </c>
      <c r="C16" s="42">
        <f>+'Libro Diario y Mayor'!M17</f>
        <v>20850000</v>
      </c>
      <c r="D16" s="43" t="s">
        <v>48</v>
      </c>
      <c r="E16" s="42">
        <f>+C16</f>
        <v>20850000</v>
      </c>
      <c r="F16" s="43" t="s">
        <v>48</v>
      </c>
      <c r="G16" s="42">
        <f>+E16</f>
        <v>20850000</v>
      </c>
      <c r="H16" s="43" t="s">
        <v>48</v>
      </c>
      <c r="I16" s="43" t="s">
        <v>48</v>
      </c>
    </row>
    <row r="17" spans="1:9" x14ac:dyDescent="0.25">
      <c r="A17" s="41" t="str">
        <f>+'Libro Diario y Mayor'!I46</f>
        <v>Costo de Venta</v>
      </c>
      <c r="B17" s="42">
        <f>+'Libro Diario y Mayor'!I49</f>
        <v>4000000</v>
      </c>
      <c r="C17" s="42">
        <v>0</v>
      </c>
      <c r="D17" s="42">
        <f>+B17</f>
        <v>4000000</v>
      </c>
      <c r="E17" s="43" t="s">
        <v>48</v>
      </c>
      <c r="F17" s="43" t="s">
        <v>48</v>
      </c>
      <c r="G17" s="43" t="s">
        <v>48</v>
      </c>
      <c r="H17" s="44">
        <f>+D17</f>
        <v>4000000</v>
      </c>
      <c r="I17" s="43" t="s">
        <v>48</v>
      </c>
    </row>
    <row r="18" spans="1:9" x14ac:dyDescent="0.25">
      <c r="A18" s="41" t="str">
        <f>+'Libro Diario y Mayor'!I53</f>
        <v>Gastos Generales</v>
      </c>
      <c r="B18" s="42">
        <f>+'Libro Diario y Mayor'!I56</f>
        <v>296954</v>
      </c>
      <c r="C18" s="41">
        <f>+'Libro Diario y Mayor'!J56</f>
        <v>0</v>
      </c>
      <c r="D18" s="42">
        <f>+B18</f>
        <v>296954</v>
      </c>
      <c r="E18" s="43" t="s">
        <v>48</v>
      </c>
      <c r="F18" s="43" t="s">
        <v>48</v>
      </c>
      <c r="G18" s="43" t="s">
        <v>48</v>
      </c>
      <c r="H18" s="44">
        <f t="shared" ref="H18:H21" si="1">+D18</f>
        <v>296954</v>
      </c>
      <c r="I18" s="43" t="s">
        <v>48</v>
      </c>
    </row>
    <row r="19" spans="1:9" x14ac:dyDescent="0.25">
      <c r="A19" s="41" t="str">
        <f>+'Libro Diario y Mayor'!I60</f>
        <v>Arriendo</v>
      </c>
      <c r="B19" s="42">
        <f>+'Libro Diario y Mayor'!I63</f>
        <v>90000</v>
      </c>
      <c r="C19" s="41">
        <f>+'Libro Diario y Mayor'!J57</f>
        <v>0</v>
      </c>
      <c r="D19" s="42">
        <f>+B19</f>
        <v>90000</v>
      </c>
      <c r="E19" s="43" t="s">
        <v>48</v>
      </c>
      <c r="F19" s="43" t="s">
        <v>48</v>
      </c>
      <c r="G19" s="43" t="s">
        <v>48</v>
      </c>
      <c r="H19" s="44">
        <f t="shared" si="1"/>
        <v>90000</v>
      </c>
      <c r="I19" s="43" t="s">
        <v>48</v>
      </c>
    </row>
    <row r="20" spans="1:9" x14ac:dyDescent="0.25">
      <c r="A20" s="41" t="str">
        <f>+'Libro Diario y Mayor'!I72</f>
        <v>Remuneraciones</v>
      </c>
      <c r="B20" s="42">
        <f>+'Libro Diario y Mayor'!I75</f>
        <v>1000000</v>
      </c>
      <c r="C20" s="41">
        <f>+'Libro Diario y Mayor'!J58</f>
        <v>0</v>
      </c>
      <c r="D20" s="42">
        <f>+B20</f>
        <v>1000000</v>
      </c>
      <c r="E20" s="43" t="s">
        <v>48</v>
      </c>
      <c r="F20" s="43" t="s">
        <v>48</v>
      </c>
      <c r="G20" s="43" t="s">
        <v>48</v>
      </c>
      <c r="H20" s="44">
        <f t="shared" si="1"/>
        <v>1000000</v>
      </c>
      <c r="I20" s="43" t="s">
        <v>48</v>
      </c>
    </row>
    <row r="21" spans="1:9" x14ac:dyDescent="0.25">
      <c r="A21" s="41" t="str">
        <f>+'Libro Diario y Mayor'!I78</f>
        <v>Gastos Financieros</v>
      </c>
      <c r="B21" s="42">
        <f>+'Libro Diario y Mayor'!I81</f>
        <v>32000</v>
      </c>
      <c r="C21" s="41">
        <f>+'Libro Diario y Mayor'!J59</f>
        <v>0</v>
      </c>
      <c r="D21" s="42">
        <f>+B21</f>
        <v>32000</v>
      </c>
      <c r="E21" s="43" t="s">
        <v>48</v>
      </c>
      <c r="F21" s="43" t="s">
        <v>48</v>
      </c>
      <c r="G21" s="43" t="s">
        <v>48</v>
      </c>
      <c r="H21" s="44">
        <f t="shared" si="1"/>
        <v>32000</v>
      </c>
      <c r="I21" s="43" t="s">
        <v>48</v>
      </c>
    </row>
    <row r="22" spans="1:9" ht="15.75" thickBot="1" x14ac:dyDescent="0.3">
      <c r="A22" s="41" t="str">
        <f>+'Libro Diario y Mayor'!L21</f>
        <v>Ingresos por Ventas</v>
      </c>
      <c r="B22" s="47">
        <f>+'Libro Diario y Mayor'!L24</f>
        <v>0</v>
      </c>
      <c r="C22" s="47">
        <f>+'Libro Diario y Mayor'!M24</f>
        <v>5462185</v>
      </c>
      <c r="D22" s="48" t="s">
        <v>48</v>
      </c>
      <c r="E22" s="47">
        <f>+C22</f>
        <v>5462185</v>
      </c>
      <c r="F22" s="48" t="s">
        <v>48</v>
      </c>
      <c r="G22" s="48" t="s">
        <v>48</v>
      </c>
      <c r="H22" s="48" t="s">
        <v>48</v>
      </c>
      <c r="I22" s="47">
        <f>+E22</f>
        <v>5462185</v>
      </c>
    </row>
    <row r="23" spans="1:9" x14ac:dyDescent="0.25">
      <c r="A23" s="45" t="s">
        <v>49</v>
      </c>
      <c r="B23" s="46">
        <f t="shared" ref="B23:I23" si="2">SUM(B4:B22)</f>
        <v>48185114.600000001</v>
      </c>
      <c r="C23" s="46">
        <f t="shared" si="2"/>
        <v>48185115</v>
      </c>
      <c r="D23" s="46">
        <f t="shared" si="2"/>
        <v>28802494</v>
      </c>
      <c r="E23" s="46">
        <f t="shared" si="2"/>
        <v>28802494</v>
      </c>
      <c r="F23" s="46">
        <f t="shared" si="2"/>
        <v>23383540</v>
      </c>
      <c r="G23" s="46">
        <f t="shared" si="2"/>
        <v>23340309</v>
      </c>
      <c r="H23" s="46">
        <f t="shared" si="2"/>
        <v>5418954</v>
      </c>
      <c r="I23" s="46">
        <f t="shared" si="2"/>
        <v>5462185</v>
      </c>
    </row>
    <row r="24" spans="1:9" ht="15.75" thickBot="1" x14ac:dyDescent="0.3">
      <c r="A24" s="41" t="s">
        <v>12</v>
      </c>
      <c r="B24" s="49"/>
      <c r="C24" s="49"/>
      <c r="D24" s="49"/>
      <c r="E24" s="49"/>
      <c r="F24" s="49"/>
      <c r="G24" s="47">
        <f>+F23-G23</f>
        <v>43231</v>
      </c>
      <c r="H24" s="47">
        <f>+I23-H23</f>
        <v>43231</v>
      </c>
      <c r="I24" s="49"/>
    </row>
    <row r="25" spans="1:9" x14ac:dyDescent="0.25">
      <c r="A25" s="45" t="s">
        <v>50</v>
      </c>
      <c r="B25" s="46">
        <f>SUM(B23)</f>
        <v>48185114.600000001</v>
      </c>
      <c r="C25" s="46">
        <f t="shared" ref="C25:I25" si="3">SUM(C23)</f>
        <v>48185115</v>
      </c>
      <c r="D25" s="46">
        <f t="shared" si="3"/>
        <v>28802494</v>
      </c>
      <c r="E25" s="46">
        <f t="shared" si="3"/>
        <v>28802494</v>
      </c>
      <c r="F25" s="46">
        <f t="shared" si="3"/>
        <v>23383540</v>
      </c>
      <c r="G25" s="46">
        <f>SUM(G23:G24)</f>
        <v>23383540</v>
      </c>
      <c r="H25" s="46">
        <f>SUM(H23:H24)</f>
        <v>5462185</v>
      </c>
      <c r="I25" s="46">
        <f t="shared" si="3"/>
        <v>5462185</v>
      </c>
    </row>
    <row r="26" spans="1:9" ht="15.75" thickBot="1" x14ac:dyDescent="0.3">
      <c r="A26" s="41"/>
      <c r="B26" s="50"/>
      <c r="C26" s="50"/>
      <c r="D26" s="50"/>
      <c r="E26" s="50"/>
      <c r="F26" s="50"/>
      <c r="G26" s="50"/>
      <c r="H26" s="50"/>
      <c r="I26" s="50"/>
    </row>
    <row r="27" spans="1:9" ht="15.75" thickTop="1" x14ac:dyDescent="0.25">
      <c r="A27" s="51"/>
      <c r="B27" s="51"/>
      <c r="C27" s="51"/>
      <c r="D27" s="51"/>
      <c r="E27" s="51"/>
      <c r="F27" s="51"/>
      <c r="G27" s="51"/>
      <c r="H27" s="51"/>
      <c r="I27" s="51"/>
    </row>
    <row r="28" spans="1:9" x14ac:dyDescent="0.25">
      <c r="A28" s="51"/>
      <c r="B28" s="51"/>
      <c r="C28" s="51"/>
      <c r="D28" s="51"/>
      <c r="E28" s="51"/>
      <c r="F28" s="51"/>
      <c r="G28" s="51"/>
      <c r="H28" s="51"/>
      <c r="I28" s="51"/>
    </row>
    <row r="29" spans="1:9" x14ac:dyDescent="0.25">
      <c r="A29" s="51"/>
      <c r="B29" s="51"/>
      <c r="C29" s="51"/>
      <c r="D29" s="51"/>
      <c r="E29" s="51"/>
      <c r="F29" s="51"/>
      <c r="G29" s="51"/>
      <c r="H29" s="51"/>
      <c r="I29" s="51"/>
    </row>
    <row r="30" spans="1:9" x14ac:dyDescent="0.25">
      <c r="A30" s="51"/>
      <c r="B30" s="51"/>
      <c r="C30" s="51"/>
      <c r="D30" s="51"/>
      <c r="E30" s="51"/>
      <c r="F30" s="51"/>
      <c r="G30" s="51"/>
      <c r="H30" s="51"/>
      <c r="I30" s="51"/>
    </row>
    <row r="31" spans="1:9" x14ac:dyDescent="0.25">
      <c r="A31" s="51"/>
      <c r="B31" s="51"/>
      <c r="C31" s="51"/>
      <c r="D31" s="51"/>
      <c r="E31" s="51"/>
      <c r="F31" s="51"/>
      <c r="G31" s="51"/>
      <c r="H31" s="51"/>
      <c r="I31" s="51"/>
    </row>
    <row r="32" spans="1:9" x14ac:dyDescent="0.25">
      <c r="A32" s="51"/>
      <c r="B32" s="51"/>
      <c r="C32" s="51"/>
      <c r="D32" s="51"/>
      <c r="E32" s="51"/>
      <c r="F32" s="51"/>
      <c r="G32" s="51"/>
      <c r="H32" s="51"/>
      <c r="I32" s="51"/>
    </row>
    <row r="33" spans="1:9" x14ac:dyDescent="0.25">
      <c r="A33" s="51"/>
      <c r="B33" s="51"/>
      <c r="C33" s="51"/>
      <c r="D33" s="51"/>
      <c r="E33" s="51"/>
      <c r="F33" s="51"/>
      <c r="G33" s="51"/>
      <c r="H33" s="51"/>
      <c r="I33" s="51"/>
    </row>
    <row r="34" spans="1:9" x14ac:dyDescent="0.25">
      <c r="A34" s="51"/>
      <c r="B34" s="51"/>
      <c r="C34" s="51"/>
      <c r="D34" s="51"/>
      <c r="E34" s="51"/>
      <c r="F34" s="51"/>
      <c r="G34" s="51"/>
      <c r="H34" s="51"/>
      <c r="I34" s="51"/>
    </row>
    <row r="35" spans="1:9" x14ac:dyDescent="0.25">
      <c r="A35" s="51"/>
      <c r="B35" s="51"/>
      <c r="C35" s="51"/>
      <c r="D35" s="51"/>
      <c r="E35" s="51"/>
      <c r="F35" s="51"/>
      <c r="G35" s="51"/>
      <c r="H35" s="51"/>
      <c r="I35" s="51"/>
    </row>
    <row r="36" spans="1:9" x14ac:dyDescent="0.25">
      <c r="A36" s="51"/>
      <c r="B36" s="51"/>
      <c r="C36" s="51"/>
      <c r="D36" s="51"/>
      <c r="E36" s="51"/>
      <c r="F36" s="51"/>
      <c r="G36" s="51"/>
      <c r="H36" s="51"/>
      <c r="I36" s="5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6BF1-1DCE-49AB-BF7D-DD66C3BEED14}">
  <dimension ref="B2:F12"/>
  <sheetViews>
    <sheetView tabSelected="1" workbookViewId="0">
      <selection activeCell="D10" sqref="D10"/>
    </sheetView>
  </sheetViews>
  <sheetFormatPr baseColWidth="10" defaultRowHeight="15" x14ac:dyDescent="0.25"/>
  <cols>
    <col min="2" max="2" width="23.28515625" customWidth="1"/>
    <col min="3" max="3" width="22.28515625" customWidth="1"/>
    <col min="4" max="4" width="19" customWidth="1"/>
    <col min="5" max="5" width="25.140625" customWidth="1"/>
  </cols>
  <sheetData>
    <row r="2" spans="2:6" x14ac:dyDescent="0.25">
      <c r="B2" s="40" t="s">
        <v>88</v>
      </c>
    </row>
    <row r="4" spans="2:6" x14ac:dyDescent="0.25">
      <c r="B4" s="40" t="s">
        <v>89</v>
      </c>
    </row>
    <row r="6" spans="2:6" x14ac:dyDescent="0.25">
      <c r="B6" s="40" t="s">
        <v>90</v>
      </c>
    </row>
    <row r="8" spans="2:6" x14ac:dyDescent="0.25">
      <c r="B8" s="41" t="s">
        <v>91</v>
      </c>
      <c r="C8" s="41" t="s">
        <v>92</v>
      </c>
      <c r="D8" s="41" t="s">
        <v>93</v>
      </c>
      <c r="E8" s="41" t="s">
        <v>94</v>
      </c>
      <c r="F8" s="41" t="s">
        <v>95</v>
      </c>
    </row>
    <row r="9" spans="2:6" ht="150" x14ac:dyDescent="0.25">
      <c r="B9" s="56" t="s">
        <v>96</v>
      </c>
      <c r="C9" s="57" t="s">
        <v>97</v>
      </c>
      <c r="D9" s="57" t="s">
        <v>98</v>
      </c>
      <c r="E9" s="56" t="s">
        <v>99</v>
      </c>
      <c r="F9" s="58">
        <v>30</v>
      </c>
    </row>
    <row r="10" spans="2:6" ht="150" x14ac:dyDescent="0.25">
      <c r="B10" s="56" t="s">
        <v>100</v>
      </c>
      <c r="C10" s="57" t="s">
        <v>101</v>
      </c>
      <c r="D10" s="56" t="s">
        <v>102</v>
      </c>
      <c r="E10" s="56" t="s">
        <v>103</v>
      </c>
      <c r="F10" s="58">
        <v>30</v>
      </c>
    </row>
    <row r="11" spans="2:6" ht="150" x14ac:dyDescent="0.25">
      <c r="B11" s="56" t="s">
        <v>104</v>
      </c>
      <c r="C11" s="57" t="s">
        <v>105</v>
      </c>
      <c r="D11" s="57" t="s">
        <v>106</v>
      </c>
      <c r="E11" s="56" t="s">
        <v>107</v>
      </c>
      <c r="F11" s="58">
        <v>25</v>
      </c>
    </row>
    <row r="12" spans="2:6" ht="120" x14ac:dyDescent="0.25">
      <c r="B12" s="56" t="s">
        <v>108</v>
      </c>
      <c r="C12" s="57" t="s">
        <v>109</v>
      </c>
      <c r="D12" s="56" t="s">
        <v>110</v>
      </c>
      <c r="E12" s="56" t="s">
        <v>111</v>
      </c>
      <c r="F12" s="58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</vt:lpstr>
      <vt:lpstr>Libro Diario y Mayor</vt:lpstr>
      <vt:lpstr>Balance 8 columnas</vt:lpstr>
      <vt:lpstr>Rúbrica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Funcionario</cp:lastModifiedBy>
  <cp:lastPrinted>2013-07-02T00:10:46Z</cp:lastPrinted>
  <dcterms:created xsi:type="dcterms:W3CDTF">2013-06-14T16:35:34Z</dcterms:created>
  <dcterms:modified xsi:type="dcterms:W3CDTF">2026-06-16T16:27:19Z</dcterms:modified>
</cp:coreProperties>
</file>